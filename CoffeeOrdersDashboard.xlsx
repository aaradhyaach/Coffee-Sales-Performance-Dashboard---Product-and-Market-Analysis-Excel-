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acharya\Documents\PersonalProjects\Excel Project\excel-project-coffee-sales-main\"/>
    </mc:Choice>
  </mc:AlternateContent>
  <xr:revisionPtr revIDLastSave="0" documentId="13_ncr:1_{4010F74C-BD30-42E3-A7FB-52F95EB7DEC2}" xr6:coauthVersionLast="47" xr6:coauthVersionMax="47" xr10:uidLastSave="{00000000-0000-0000-0000-000000000000}"/>
  <bookViews>
    <workbookView xWindow="-120" yWindow="-120" windowWidth="29040" windowHeight="15720" xr2:uid="{00000000-000D-0000-FFFF-FFFF00000000}"/>
  </bookViews>
  <sheets>
    <sheet name="Dashboard" sheetId="21" r:id="rId1"/>
    <sheet name="Total Sales" sheetId="18" r:id="rId2"/>
    <sheet name="Country BarChart" sheetId="19" r:id="rId3"/>
    <sheet name="Top 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J2" i="17"/>
  <c r="O2" i="17" s="1"/>
  <c r="I2" i="17"/>
  <c r="N2" i="17" s="1"/>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alcChain>
</file>

<file path=xl/sharedStrings.xml><?xml version="1.0" encoding="utf-8"?>
<sst xmlns="http://schemas.openxmlformats.org/spreadsheetml/2006/main" count="11132" uniqueCount="6221">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</sst>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mmm\-yyyy"/>
    <numFmt numFmtId="166" formatCode="0.0\ &quot;kg&quot;"/>
    <numFmt numFmtId="167" formatCode="_([$$-409]* #,##0.00_);_([$$-409]* \(#,##0.0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cellXfs>
  <cellStyles count="1">
    <cellStyle name="Normal" xfId="0" builtinId="0"/>
  </cellStyles>
  <dxfs count="12">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C4DFB1"/>
      <color rgb="FF96C377"/>
      <color rgb="FFCCD10D"/>
      <color rgb="FFEEB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[CoffeeOrdersDashboard.xlsx]Total Sales!Total Sales</c:name>
    <c:fmtId val="5"/>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77.699999999999989</c:v>
                </c:pt>
                <c:pt idx="1">
                  <c:v>156.69499999999999</c:v>
                </c:pt>
                <c:pt idx="2">
                  <c:v>59.569999999999993</c:v>
                </c:pt>
                <c:pt idx="3">
                  <c:v>111.36999999999999</c:v>
                </c:pt>
                <c:pt idx="4">
                  <c:v>29.784999999999997</c:v>
                </c:pt>
                <c:pt idx="5">
                  <c:v>7.77</c:v>
                </c:pt>
                <c:pt idx="6">
                  <c:v>132.08999999999997</c:v>
                </c:pt>
                <c:pt idx="7">
                  <c:v>221.44499999999999</c:v>
                </c:pt>
                <c:pt idx="8">
                  <c:v>178.70999999999998</c:v>
                </c:pt>
                <c:pt idx="9">
                  <c:v>103.6</c:v>
                </c:pt>
                <c:pt idx="10">
                  <c:v>178.70999999999998</c:v>
                </c:pt>
                <c:pt idx="11">
                  <c:v>3.8849999999999998</c:v>
                </c:pt>
                <c:pt idx="13">
                  <c:v>134.67999999999998</c:v>
                </c:pt>
                <c:pt idx="14">
                  <c:v>46.62</c:v>
                </c:pt>
                <c:pt idx="16">
                  <c:v>67.34</c:v>
                </c:pt>
                <c:pt idx="17">
                  <c:v>226.62499999999997</c:v>
                </c:pt>
                <c:pt idx="18">
                  <c:v>321.15999999999997</c:v>
                </c:pt>
                <c:pt idx="22">
                  <c:v>187.77499999999998</c:v>
                </c:pt>
                <c:pt idx="23">
                  <c:v>25.9</c:v>
                </c:pt>
                <c:pt idx="24">
                  <c:v>23.31</c:v>
                </c:pt>
                <c:pt idx="25">
                  <c:v>85.47</c:v>
                </c:pt>
                <c:pt idx="26">
                  <c:v>291.375</c:v>
                </c:pt>
                <c:pt idx="27">
                  <c:v>15.54</c:v>
                </c:pt>
                <c:pt idx="28">
                  <c:v>23.31</c:v>
                </c:pt>
                <c:pt idx="29">
                  <c:v>113.96</c:v>
                </c:pt>
                <c:pt idx="30">
                  <c:v>31.08</c:v>
                </c:pt>
                <c:pt idx="31">
                  <c:v>89.35499999999999</c:v>
                </c:pt>
                <c:pt idx="32">
                  <c:v>287.48999999999995</c:v>
                </c:pt>
                <c:pt idx="33">
                  <c:v>3.8849999999999998</c:v>
                </c:pt>
                <c:pt idx="34">
                  <c:v>89.35499999999999</c:v>
                </c:pt>
                <c:pt idx="35">
                  <c:v>334.10999999999996</c:v>
                </c:pt>
                <c:pt idx="36">
                  <c:v>27.195</c:v>
                </c:pt>
                <c:pt idx="37">
                  <c:v>49.209999999999994</c:v>
                </c:pt>
                <c:pt idx="38">
                  <c:v>211.08499999999998</c:v>
                </c:pt>
                <c:pt idx="39">
                  <c:v>62.16</c:v>
                </c:pt>
                <c:pt idx="40">
                  <c:v>46.62</c:v>
                </c:pt>
                <c:pt idx="41">
                  <c:v>46.62</c:v>
                </c:pt>
                <c:pt idx="42">
                  <c:v>60.864999999999995</c:v>
                </c:pt>
                <c:pt idx="43">
                  <c:v>68.634999999999991</c:v>
                </c:pt>
              </c:numCache>
            </c:numRef>
          </c:val>
          <c:smooth val="0"/>
          <c:extLst>
            <c:ext xmlns:c16="http://schemas.microsoft.com/office/drawing/2014/chart" uri="{C3380CC4-5D6E-409C-BE32-E72D297353CC}">
              <c16:uniqueId val="{00000000-8934-419C-840E-2A4E4808DCD8}"/>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124.74000000000001</c:v>
                </c:pt>
                <c:pt idx="1">
                  <c:v>8.91</c:v>
                </c:pt>
                <c:pt idx="2">
                  <c:v>35.64</c:v>
                </c:pt>
                <c:pt idx="3">
                  <c:v>571.72499999999991</c:v>
                </c:pt>
                <c:pt idx="4">
                  <c:v>75.734999999999999</c:v>
                </c:pt>
                <c:pt idx="5">
                  <c:v>341.54999999999995</c:v>
                </c:pt>
                <c:pt idx="6">
                  <c:v>204.92999999999995</c:v>
                </c:pt>
                <c:pt idx="7">
                  <c:v>29.7</c:v>
                </c:pt>
                <c:pt idx="8">
                  <c:v>89.1</c:v>
                </c:pt>
                <c:pt idx="9">
                  <c:v>103.94999999999999</c:v>
                </c:pt>
                <c:pt idx="11">
                  <c:v>518.26499999999987</c:v>
                </c:pt>
                <c:pt idx="13">
                  <c:v>108.405</c:v>
                </c:pt>
                <c:pt idx="14">
                  <c:v>83.16</c:v>
                </c:pt>
                <c:pt idx="15">
                  <c:v>53.46</c:v>
                </c:pt>
                <c:pt idx="16">
                  <c:v>44.55</c:v>
                </c:pt>
                <c:pt idx="17">
                  <c:v>175.22999999999996</c:v>
                </c:pt>
                <c:pt idx="18">
                  <c:v>44.55</c:v>
                </c:pt>
                <c:pt idx="19">
                  <c:v>35.64</c:v>
                </c:pt>
                <c:pt idx="20">
                  <c:v>53.46</c:v>
                </c:pt>
                <c:pt idx="21">
                  <c:v>247.99499999999998</c:v>
                </c:pt>
                <c:pt idx="22">
                  <c:v>8.91</c:v>
                </c:pt>
                <c:pt idx="23">
                  <c:v>213.83999999999997</c:v>
                </c:pt>
                <c:pt idx="24">
                  <c:v>59.4</c:v>
                </c:pt>
                <c:pt idx="25">
                  <c:v>40.094999999999999</c:v>
                </c:pt>
                <c:pt idx="26">
                  <c:v>157.40999999999997</c:v>
                </c:pt>
                <c:pt idx="27">
                  <c:v>8.91</c:v>
                </c:pt>
                <c:pt idx="28">
                  <c:v>53.46</c:v>
                </c:pt>
                <c:pt idx="29">
                  <c:v>22.274999999999999</c:v>
                </c:pt>
                <c:pt idx="30">
                  <c:v>49.005000000000003</c:v>
                </c:pt>
                <c:pt idx="31">
                  <c:v>26.73</c:v>
                </c:pt>
                <c:pt idx="32">
                  <c:v>163.35</c:v>
                </c:pt>
                <c:pt idx="33">
                  <c:v>68.309999999999988</c:v>
                </c:pt>
                <c:pt idx="34">
                  <c:v>163.35</c:v>
                </c:pt>
                <c:pt idx="36">
                  <c:v>86.13</c:v>
                </c:pt>
                <c:pt idx="38">
                  <c:v>147.01499999999999</c:v>
                </c:pt>
                <c:pt idx="39">
                  <c:v>207.89999999999998</c:v>
                </c:pt>
                <c:pt idx="40">
                  <c:v>78.704999999999998</c:v>
                </c:pt>
                <c:pt idx="41">
                  <c:v>231.65999999999994</c:v>
                </c:pt>
                <c:pt idx="42">
                  <c:v>59.4</c:v>
                </c:pt>
              </c:numCache>
            </c:numRef>
          </c:val>
          <c:smooth val="0"/>
          <c:extLst>
            <c:ext xmlns:c16="http://schemas.microsoft.com/office/drawing/2014/chart" uri="{C3380CC4-5D6E-409C-BE32-E72D297353CC}">
              <c16:uniqueId val="{00000001-8934-419C-840E-2A4E4808DCD8}"/>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145.82</c:v>
                </c:pt>
                <c:pt idx="1">
                  <c:v>23.774999999999999</c:v>
                </c:pt>
                <c:pt idx="2">
                  <c:v>85.59</c:v>
                </c:pt>
                <c:pt idx="3">
                  <c:v>274.20499999999998</c:v>
                </c:pt>
                <c:pt idx="4">
                  <c:v>145.82</c:v>
                </c:pt>
                <c:pt idx="5">
                  <c:v>38.04</c:v>
                </c:pt>
                <c:pt idx="6">
                  <c:v>171.18</c:v>
                </c:pt>
                <c:pt idx="7">
                  <c:v>15.85</c:v>
                </c:pt>
                <c:pt idx="8">
                  <c:v>171.18</c:v>
                </c:pt>
                <c:pt idx="9">
                  <c:v>109.36499999999999</c:v>
                </c:pt>
                <c:pt idx="10">
                  <c:v>187.02999999999997</c:v>
                </c:pt>
                <c:pt idx="12">
                  <c:v>104.61</c:v>
                </c:pt>
                <c:pt idx="13">
                  <c:v>47.55</c:v>
                </c:pt>
                <c:pt idx="14">
                  <c:v>63.4</c:v>
                </c:pt>
                <c:pt idx="15">
                  <c:v>23.774999999999999</c:v>
                </c:pt>
                <c:pt idx="16">
                  <c:v>23.774999999999999</c:v>
                </c:pt>
                <c:pt idx="17">
                  <c:v>158.5</c:v>
                </c:pt>
                <c:pt idx="18">
                  <c:v>131.55500000000001</c:v>
                </c:pt>
                <c:pt idx="19">
                  <c:v>47.55</c:v>
                </c:pt>
                <c:pt idx="20">
                  <c:v>9.51</c:v>
                </c:pt>
                <c:pt idx="21">
                  <c:v>117.28999999999999</c:v>
                </c:pt>
                <c:pt idx="22">
                  <c:v>188.61500000000001</c:v>
                </c:pt>
                <c:pt idx="23">
                  <c:v>47.55</c:v>
                </c:pt>
                <c:pt idx="24">
                  <c:v>128.38499999999999</c:v>
                </c:pt>
                <c:pt idx="25">
                  <c:v>101.44</c:v>
                </c:pt>
                <c:pt idx="26">
                  <c:v>109.36499999999999</c:v>
                </c:pt>
                <c:pt idx="27">
                  <c:v>467.57499999999999</c:v>
                </c:pt>
                <c:pt idx="28">
                  <c:v>101.44</c:v>
                </c:pt>
                <c:pt idx="30">
                  <c:v>52.305</c:v>
                </c:pt>
                <c:pt idx="31">
                  <c:v>28.53</c:v>
                </c:pt>
                <c:pt idx="33">
                  <c:v>129.97</c:v>
                </c:pt>
                <c:pt idx="34">
                  <c:v>88.76</c:v>
                </c:pt>
                <c:pt idx="35">
                  <c:v>155.32999999999998</c:v>
                </c:pt>
                <c:pt idx="36">
                  <c:v>320.17</c:v>
                </c:pt>
                <c:pt idx="37">
                  <c:v>64.984999999999999</c:v>
                </c:pt>
                <c:pt idx="38">
                  <c:v>139.47999999999999</c:v>
                </c:pt>
                <c:pt idx="39">
                  <c:v>38.04</c:v>
                </c:pt>
                <c:pt idx="40">
                  <c:v>84.004999999999995</c:v>
                </c:pt>
                <c:pt idx="41">
                  <c:v>145.82</c:v>
                </c:pt>
                <c:pt idx="42">
                  <c:v>79.25</c:v>
                </c:pt>
              </c:numCache>
            </c:numRef>
          </c:val>
          <c:smooth val="0"/>
          <c:extLst>
            <c:ext xmlns:c16="http://schemas.microsoft.com/office/drawing/2014/chart" uri="{C3380CC4-5D6E-409C-BE32-E72D297353CC}">
              <c16:uniqueId val="{00000002-8934-419C-840E-2A4E4808DCD8}"/>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21.509999999999998</c:v>
                </c:pt>
                <c:pt idx="1">
                  <c:v>71.699999999999989</c:v>
                </c:pt>
                <c:pt idx="2">
                  <c:v>92.014999999999986</c:v>
                </c:pt>
                <c:pt idx="3">
                  <c:v>90.82</c:v>
                </c:pt>
                <c:pt idx="5">
                  <c:v>155.34999999999997</c:v>
                </c:pt>
                <c:pt idx="7">
                  <c:v>43.019999999999996</c:v>
                </c:pt>
                <c:pt idx="8">
                  <c:v>54.969999999999992</c:v>
                </c:pt>
                <c:pt idx="9">
                  <c:v>164.91</c:v>
                </c:pt>
                <c:pt idx="10">
                  <c:v>7.169999999999999</c:v>
                </c:pt>
                <c:pt idx="11">
                  <c:v>190.00499999999997</c:v>
                </c:pt>
                <c:pt idx="12">
                  <c:v>150.57</c:v>
                </c:pt>
                <c:pt idx="13">
                  <c:v>371.64499999999992</c:v>
                </c:pt>
                <c:pt idx="17">
                  <c:v>109.93999999999998</c:v>
                </c:pt>
                <c:pt idx="18">
                  <c:v>143.39999999999998</c:v>
                </c:pt>
                <c:pt idx="19">
                  <c:v>35.849999999999994</c:v>
                </c:pt>
                <c:pt idx="20">
                  <c:v>215.09999999999997</c:v>
                </c:pt>
                <c:pt idx="21">
                  <c:v>174.46999999999997</c:v>
                </c:pt>
                <c:pt idx="22">
                  <c:v>27.484999999999996</c:v>
                </c:pt>
                <c:pt idx="24">
                  <c:v>3.5849999999999995</c:v>
                </c:pt>
                <c:pt idx="26">
                  <c:v>82.454999999999984</c:v>
                </c:pt>
                <c:pt idx="27">
                  <c:v>23.9</c:v>
                </c:pt>
                <c:pt idx="28">
                  <c:v>221.07499999999996</c:v>
                </c:pt>
                <c:pt idx="29">
                  <c:v>17.924999999999997</c:v>
                </c:pt>
                <c:pt idx="30">
                  <c:v>145.78999999999996</c:v>
                </c:pt>
                <c:pt idx="31">
                  <c:v>114.71999999999998</c:v>
                </c:pt>
                <c:pt idx="32">
                  <c:v>181.63999999999996</c:v>
                </c:pt>
                <c:pt idx="33">
                  <c:v>88.429999999999993</c:v>
                </c:pt>
                <c:pt idx="34">
                  <c:v>35.849999999999994</c:v>
                </c:pt>
                <c:pt idx="35">
                  <c:v>185.22499999999997</c:v>
                </c:pt>
                <c:pt idx="36">
                  <c:v>56.164999999999999</c:v>
                </c:pt>
                <c:pt idx="37">
                  <c:v>35.849999999999994</c:v>
                </c:pt>
                <c:pt idx="38">
                  <c:v>252.14499999999998</c:v>
                </c:pt>
                <c:pt idx="39">
                  <c:v>28.679999999999996</c:v>
                </c:pt>
                <c:pt idx="40">
                  <c:v>109.94</c:v>
                </c:pt>
                <c:pt idx="41">
                  <c:v>7.169999999999999</c:v>
                </c:pt>
                <c:pt idx="42">
                  <c:v>14.339999999999998</c:v>
                </c:pt>
                <c:pt idx="43">
                  <c:v>34.655000000000001</c:v>
                </c:pt>
              </c:numCache>
            </c:numRef>
          </c:val>
          <c:smooth val="0"/>
          <c:extLst>
            <c:ext xmlns:c16="http://schemas.microsoft.com/office/drawing/2014/chart" uri="{C3380CC4-5D6E-409C-BE32-E72D297353CC}">
              <c16:uniqueId val="{00000003-8934-419C-840E-2A4E4808DCD8}"/>
            </c:ext>
          </c:extLst>
        </c:ser>
        <c:dLbls>
          <c:showLegendKey val="0"/>
          <c:showVal val="0"/>
          <c:showCatName val="0"/>
          <c:showSerName val="0"/>
          <c:showPercent val="0"/>
          <c:showBubbleSize val="0"/>
        </c:dLbls>
        <c:smooth val="0"/>
        <c:axId val="590953296"/>
        <c:axId val="590952816"/>
      </c:lineChart>
      <c:catAx>
        <c:axId val="59095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590952816"/>
        <c:crosses val="autoZero"/>
        <c:auto val="1"/>
        <c:lblAlgn val="ctr"/>
        <c:lblOffset val="100"/>
        <c:noMultiLvlLbl val="0"/>
      </c:catAx>
      <c:valAx>
        <c:axId val="59095281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59095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4DFB1"/>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[CoffeeOrdersDashboard.xlsx]Country BarChart!Total Sales</c:name>
    <c:fmtId val="15"/>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solidFill>
                  <a:schemeClr val="accent2">
                    <a:lumMod val="75000"/>
                  </a:schemeClr>
                </a:solidFill>
              </a:rPr>
              <a:t>Total Sales by Country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alpha val="52000"/>
            </a:schemeClr>
          </a:solidFill>
          <a:ln>
            <a:noFill/>
          </a:ln>
          <a:effectLst/>
        </c:spPr>
      </c:pivotFmt>
      <c:pivotFmt>
        <c:idx val="3"/>
        <c:spPr>
          <a:solidFill>
            <a:schemeClr val="accent6">
              <a:lumMod val="75000"/>
              <a:alpha val="25000"/>
            </a:schemeClr>
          </a:solidFill>
          <a:ln>
            <a:noFill/>
          </a:ln>
          <a:effectLst/>
        </c:spPr>
      </c:pivotFmt>
      <c:pivotFmt>
        <c:idx val="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lumMod val="75000"/>
              <a:alpha val="25000"/>
            </a:schemeClr>
          </a:solidFill>
          <a:ln>
            <a:noFill/>
          </a:ln>
          <a:effectLst/>
        </c:spPr>
      </c:pivotFmt>
      <c:pivotFmt>
        <c:idx val="6"/>
        <c:spPr>
          <a:solidFill>
            <a:schemeClr val="accent6">
              <a:lumMod val="75000"/>
              <a:alpha val="52000"/>
            </a:schemeClr>
          </a:solidFill>
          <a:ln>
            <a:noFill/>
          </a:ln>
          <a:effectLst/>
        </c:spPr>
      </c:pivotFmt>
      <c:pivotFmt>
        <c:idx val="7"/>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alpha val="30000"/>
            </a:schemeClr>
          </a:solidFill>
          <a:ln>
            <a:noFill/>
          </a:ln>
          <a:effectLst/>
        </c:spPr>
      </c:pivotFmt>
      <c:pivotFmt>
        <c:idx val="9"/>
        <c:spPr>
          <a:solidFill>
            <a:schemeClr val="accent5">
              <a:lumMod val="75000"/>
              <a:alpha val="70000"/>
            </a:schemeClr>
          </a:solidFill>
          <a:ln>
            <a:no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chemeClr val="accent5">
                <a:lumMod val="75000"/>
              </a:schemeClr>
            </a:solidFill>
            <a:ln>
              <a:noFill/>
            </a:ln>
            <a:effectLst/>
          </c:spPr>
          <c:invertIfNegative val="0"/>
          <c:dPt>
            <c:idx val="0"/>
            <c:invertIfNegative val="0"/>
            <c:bubble3D val="0"/>
            <c:spPr>
              <a:solidFill>
                <a:schemeClr val="accent5">
                  <a:lumMod val="75000"/>
                  <a:alpha val="30000"/>
                </a:schemeClr>
              </a:solidFill>
              <a:ln>
                <a:noFill/>
              </a:ln>
              <a:effectLst/>
            </c:spPr>
            <c:extLst>
              <c:ext xmlns:c16="http://schemas.microsoft.com/office/drawing/2014/chart" uri="{C3380CC4-5D6E-409C-BE32-E72D297353CC}">
                <c16:uniqueId val="{00000001-5614-4BDC-9B96-0C1D70365446}"/>
              </c:ext>
            </c:extLst>
          </c:dPt>
          <c:dPt>
            <c:idx val="1"/>
            <c:invertIfNegative val="0"/>
            <c:bubble3D val="0"/>
            <c:spPr>
              <a:solidFill>
                <a:schemeClr val="accent5">
                  <a:lumMod val="75000"/>
                  <a:alpha val="70000"/>
                </a:schemeClr>
              </a:solidFill>
              <a:ln>
                <a:noFill/>
              </a:ln>
              <a:effectLst/>
            </c:spPr>
            <c:extLst>
              <c:ext xmlns:c16="http://schemas.microsoft.com/office/drawing/2014/chart" uri="{C3380CC4-5D6E-409C-BE32-E72D297353CC}">
                <c16:uniqueId val="{00000003-5614-4BDC-9B96-0C1D703654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_([$$-409]* #,##0.00_);_([$$-409]* \(#,##0.00\);_([$$-409]* "-"??_);_(@_)</c:formatCode>
                <c:ptCount val="3"/>
                <c:pt idx="0">
                  <c:v>943.39499999999975</c:v>
                </c:pt>
                <c:pt idx="1">
                  <c:v>2605.3299999999995</c:v>
                </c:pt>
                <c:pt idx="2">
                  <c:v>13805.739999999994</c:v>
                </c:pt>
              </c:numCache>
            </c:numRef>
          </c:val>
          <c:extLst>
            <c:ext xmlns:c16="http://schemas.microsoft.com/office/drawing/2014/chart" uri="{C3380CC4-5D6E-409C-BE32-E72D297353CC}">
              <c16:uniqueId val="{00000004-5614-4BDC-9B96-0C1D70365446}"/>
            </c:ext>
          </c:extLst>
        </c:ser>
        <c:dLbls>
          <c:showLegendKey val="0"/>
          <c:showVal val="0"/>
          <c:showCatName val="0"/>
          <c:showSerName val="0"/>
          <c:showPercent val="0"/>
          <c:showBubbleSize val="0"/>
        </c:dLbls>
        <c:gapWidth val="182"/>
        <c:axId val="314520176"/>
        <c:axId val="314518736"/>
      </c:barChart>
      <c:catAx>
        <c:axId val="31452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314518736"/>
        <c:crosses val="autoZero"/>
        <c:auto val="1"/>
        <c:lblAlgn val="ctr"/>
        <c:lblOffset val="100"/>
        <c:noMultiLvlLbl val="0"/>
      </c:catAx>
      <c:valAx>
        <c:axId val="314518736"/>
        <c:scaling>
          <c:orientation val="minMax"/>
        </c:scaling>
        <c:delete val="0"/>
        <c:axPos val="b"/>
        <c:majorGridlines>
          <c:spPr>
            <a:ln w="9525" cap="flat" cmpd="sng" algn="ctr">
              <a:solidFill>
                <a:schemeClr val="bg1"/>
              </a:solidFill>
              <a:prstDash val="sysDot"/>
              <a:round/>
            </a:ln>
            <a:effectLst/>
          </c:spPr>
        </c:majorGridlines>
        <c:numFmt formatCode="&quot;$&quot;#,##0" sourceLinked="0"/>
        <c:majorTickMark val="none"/>
        <c:minorTickMark val="none"/>
        <c:tickLblPos val="nextTo"/>
        <c:spPr>
          <a:noFill/>
          <a:ln>
            <a:solidFill>
              <a:schemeClr val="bg1">
                <a:alpha val="97000"/>
              </a:schemeClr>
            </a:solid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31452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4DFB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[CoffeeOrdersDashboard.xlsx]Top 5 Customers!Total Sales</c:name>
    <c:fmtId val="20"/>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solidFill>
                  <a:schemeClr val="accent2">
                    <a:lumMod val="75000"/>
                  </a:schemeClr>
                </a:solidFill>
              </a:rPr>
              <a:t>Top 5 Customers by Sales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alpha val="52000"/>
            </a:schemeClr>
          </a:solidFill>
          <a:ln>
            <a:noFill/>
          </a:ln>
          <a:effectLst/>
        </c:spPr>
      </c:pivotFmt>
      <c:pivotFmt>
        <c:idx val="3"/>
        <c:spPr>
          <a:solidFill>
            <a:schemeClr val="accent6">
              <a:lumMod val="75000"/>
              <a:alpha val="25000"/>
            </a:schemeClr>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alpha val="25000"/>
            </a:schemeClr>
          </a:solidFill>
          <a:ln>
            <a:noFill/>
          </a:ln>
          <a:effectLst/>
        </c:spPr>
      </c:pivotFmt>
      <c:pivotFmt>
        <c:idx val="6"/>
        <c:spPr>
          <a:solidFill>
            <a:schemeClr val="accent6">
              <a:lumMod val="75000"/>
              <a:alpha val="52000"/>
            </a:schemeClr>
          </a:solidFill>
          <a:ln>
            <a:noFill/>
          </a:ln>
          <a:effectLst/>
        </c:spPr>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0-08E3-4FEC-B95A-C7E5119A7A7F}"/>
              </c:ext>
            </c:extLst>
          </c:dPt>
          <c:dPt>
            <c:idx val="1"/>
            <c:invertIfNegative val="0"/>
            <c:bubble3D val="0"/>
            <c:extLst>
              <c:ext xmlns:c16="http://schemas.microsoft.com/office/drawing/2014/chart" uri="{C3380CC4-5D6E-409C-BE32-E72D297353CC}">
                <c16:uniqueId val="{00000001-08E3-4FEC-B95A-C7E5119A7A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Customers'!$A$4:$A$12</c:f>
              <c:strCache>
                <c:ptCount val="9"/>
                <c:pt idx="0">
                  <c:v>Elysee Sketch</c:v>
                </c:pt>
                <c:pt idx="1">
                  <c:v>Teddi Crowthe</c:v>
                </c:pt>
                <c:pt idx="2">
                  <c:v>Shelli Keynd</c:v>
                </c:pt>
                <c:pt idx="3">
                  <c:v>Lacee Tanti</c:v>
                </c:pt>
                <c:pt idx="4">
                  <c:v>Daniel Heinonen</c:v>
                </c:pt>
                <c:pt idx="5">
                  <c:v>Nanny Lush</c:v>
                </c:pt>
                <c:pt idx="6">
                  <c:v>Allis Wilmore</c:v>
                </c:pt>
                <c:pt idx="7">
                  <c:v>Alexa Sizey</c:v>
                </c:pt>
                <c:pt idx="8">
                  <c:v>Brenn Dundredge</c:v>
                </c:pt>
              </c:strCache>
            </c:strRef>
          </c:cat>
          <c:val>
            <c:numRef>
              <c:f>'Top 5 Customers'!$B$4:$B$12</c:f>
              <c:numCache>
                <c:formatCode>_([$$-409]* #,##0.00_);_([$$-409]* \(#,##0.00\);_([$$-409]* "-"??_);_(@_)</c:formatCode>
                <c:ptCount val="9"/>
                <c:pt idx="0">
                  <c:v>204.92999999999995</c:v>
                </c:pt>
                <c:pt idx="1">
                  <c:v>204.92999999999995</c:v>
                </c:pt>
                <c:pt idx="2">
                  <c:v>204.92999999999995</c:v>
                </c:pt>
                <c:pt idx="3">
                  <c:v>204.92999999999995</c:v>
                </c:pt>
                <c:pt idx="4">
                  <c:v>204.92999999999995</c:v>
                </c:pt>
                <c:pt idx="5">
                  <c:v>204.92999999999995</c:v>
                </c:pt>
                <c:pt idx="6">
                  <c:v>216.67499999999998</c:v>
                </c:pt>
                <c:pt idx="7">
                  <c:v>218.73</c:v>
                </c:pt>
                <c:pt idx="8">
                  <c:v>252.24999999999994</c:v>
                </c:pt>
              </c:numCache>
            </c:numRef>
          </c:val>
          <c:extLst>
            <c:ext xmlns:c16="http://schemas.microsoft.com/office/drawing/2014/chart" uri="{C3380CC4-5D6E-409C-BE32-E72D297353CC}">
              <c16:uniqueId val="{00000002-08E3-4FEC-B95A-C7E5119A7A7F}"/>
            </c:ext>
          </c:extLst>
        </c:ser>
        <c:dLbls>
          <c:showLegendKey val="0"/>
          <c:showVal val="0"/>
          <c:showCatName val="0"/>
          <c:showSerName val="0"/>
          <c:showPercent val="0"/>
          <c:showBubbleSize val="0"/>
        </c:dLbls>
        <c:gapWidth val="182"/>
        <c:axId val="314520176"/>
        <c:axId val="314518736"/>
      </c:barChart>
      <c:catAx>
        <c:axId val="31452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314518736"/>
        <c:crosses val="autoZero"/>
        <c:auto val="1"/>
        <c:lblAlgn val="ctr"/>
        <c:lblOffset val="100"/>
        <c:noMultiLvlLbl val="0"/>
      </c:catAx>
      <c:valAx>
        <c:axId val="314518736"/>
        <c:scaling>
          <c:orientation val="minMax"/>
        </c:scaling>
        <c:delete val="0"/>
        <c:axPos val="b"/>
        <c:majorGridlines>
          <c:spPr>
            <a:ln w="9525" cap="flat" cmpd="sng" algn="ctr">
              <a:solidFill>
                <a:schemeClr val="bg1"/>
              </a:solidFill>
              <a:prstDash val="sysDot"/>
              <a:round/>
            </a:ln>
            <a:effectLst/>
          </c:spPr>
        </c:majorGridlines>
        <c:numFmt formatCode="&quot;$&quot;#,##0" sourceLinked="0"/>
        <c:majorTickMark val="none"/>
        <c:minorTickMark val="none"/>
        <c:tickLblPos val="nextTo"/>
        <c:spPr>
          <a:noFill/>
          <a:ln>
            <a:solidFill>
              <a:schemeClr val="bg1">
                <a:alpha val="97000"/>
              </a:schemeClr>
            </a:solid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31452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4DFB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[CoffeeOrdersDashboard.xlsx]Total Sales!Total Sales</c:name>
    <c:fmtId val="1"/>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77.699999999999989</c:v>
                </c:pt>
                <c:pt idx="1">
                  <c:v>156.69499999999999</c:v>
                </c:pt>
                <c:pt idx="2">
                  <c:v>59.569999999999993</c:v>
                </c:pt>
                <c:pt idx="3">
                  <c:v>111.36999999999999</c:v>
                </c:pt>
                <c:pt idx="4">
                  <c:v>29.784999999999997</c:v>
                </c:pt>
                <c:pt idx="5">
                  <c:v>7.77</c:v>
                </c:pt>
                <c:pt idx="6">
                  <c:v>132.08999999999997</c:v>
                </c:pt>
                <c:pt idx="7">
                  <c:v>221.44499999999999</c:v>
                </c:pt>
                <c:pt idx="8">
                  <c:v>178.70999999999998</c:v>
                </c:pt>
                <c:pt idx="9">
                  <c:v>103.6</c:v>
                </c:pt>
                <c:pt idx="10">
                  <c:v>178.70999999999998</c:v>
                </c:pt>
                <c:pt idx="11">
                  <c:v>3.8849999999999998</c:v>
                </c:pt>
                <c:pt idx="13">
                  <c:v>134.67999999999998</c:v>
                </c:pt>
                <c:pt idx="14">
                  <c:v>46.62</c:v>
                </c:pt>
                <c:pt idx="16">
                  <c:v>67.34</c:v>
                </c:pt>
                <c:pt idx="17">
                  <c:v>226.62499999999997</c:v>
                </c:pt>
                <c:pt idx="18">
                  <c:v>321.15999999999997</c:v>
                </c:pt>
                <c:pt idx="22">
                  <c:v>187.77499999999998</c:v>
                </c:pt>
                <c:pt idx="23">
                  <c:v>25.9</c:v>
                </c:pt>
                <c:pt idx="24">
                  <c:v>23.31</c:v>
                </c:pt>
                <c:pt idx="25">
                  <c:v>85.47</c:v>
                </c:pt>
                <c:pt idx="26">
                  <c:v>291.375</c:v>
                </c:pt>
                <c:pt idx="27">
                  <c:v>15.54</c:v>
                </c:pt>
                <c:pt idx="28">
                  <c:v>23.31</c:v>
                </c:pt>
                <c:pt idx="29">
                  <c:v>113.96</c:v>
                </c:pt>
                <c:pt idx="30">
                  <c:v>31.08</c:v>
                </c:pt>
                <c:pt idx="31">
                  <c:v>89.35499999999999</c:v>
                </c:pt>
                <c:pt idx="32">
                  <c:v>287.48999999999995</c:v>
                </c:pt>
                <c:pt idx="33">
                  <c:v>3.8849999999999998</c:v>
                </c:pt>
                <c:pt idx="34">
                  <c:v>89.35499999999999</c:v>
                </c:pt>
                <c:pt idx="35">
                  <c:v>334.10999999999996</c:v>
                </c:pt>
                <c:pt idx="36">
                  <c:v>27.195</c:v>
                </c:pt>
                <c:pt idx="37">
                  <c:v>49.209999999999994</c:v>
                </c:pt>
                <c:pt idx="38">
                  <c:v>211.08499999999998</c:v>
                </c:pt>
                <c:pt idx="39">
                  <c:v>62.16</c:v>
                </c:pt>
                <c:pt idx="40">
                  <c:v>46.62</c:v>
                </c:pt>
                <c:pt idx="41">
                  <c:v>46.62</c:v>
                </c:pt>
                <c:pt idx="42">
                  <c:v>60.864999999999995</c:v>
                </c:pt>
                <c:pt idx="43">
                  <c:v>68.634999999999991</c:v>
                </c:pt>
              </c:numCache>
            </c:numRef>
          </c:val>
          <c:smooth val="0"/>
          <c:extLst>
            <c:ext xmlns:c16="http://schemas.microsoft.com/office/drawing/2014/chart" uri="{C3380CC4-5D6E-409C-BE32-E72D297353CC}">
              <c16:uniqueId val="{00000000-8C3B-4880-9B71-6045F2B280A5}"/>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124.74000000000001</c:v>
                </c:pt>
                <c:pt idx="1">
                  <c:v>8.91</c:v>
                </c:pt>
                <c:pt idx="2">
                  <c:v>35.64</c:v>
                </c:pt>
                <c:pt idx="3">
                  <c:v>571.72499999999991</c:v>
                </c:pt>
                <c:pt idx="4">
                  <c:v>75.734999999999999</c:v>
                </c:pt>
                <c:pt idx="5">
                  <c:v>341.54999999999995</c:v>
                </c:pt>
                <c:pt idx="6">
                  <c:v>204.92999999999995</c:v>
                </c:pt>
                <c:pt idx="7">
                  <c:v>29.7</c:v>
                </c:pt>
                <c:pt idx="8">
                  <c:v>89.1</c:v>
                </c:pt>
                <c:pt idx="9">
                  <c:v>103.94999999999999</c:v>
                </c:pt>
                <c:pt idx="11">
                  <c:v>518.26499999999987</c:v>
                </c:pt>
                <c:pt idx="13">
                  <c:v>108.405</c:v>
                </c:pt>
                <c:pt idx="14">
                  <c:v>83.16</c:v>
                </c:pt>
                <c:pt idx="15">
                  <c:v>53.46</c:v>
                </c:pt>
                <c:pt idx="16">
                  <c:v>44.55</c:v>
                </c:pt>
                <c:pt idx="17">
                  <c:v>175.22999999999996</c:v>
                </c:pt>
                <c:pt idx="18">
                  <c:v>44.55</c:v>
                </c:pt>
                <c:pt idx="19">
                  <c:v>35.64</c:v>
                </c:pt>
                <c:pt idx="20">
                  <c:v>53.46</c:v>
                </c:pt>
                <c:pt idx="21">
                  <c:v>247.99499999999998</c:v>
                </c:pt>
                <c:pt idx="22">
                  <c:v>8.91</c:v>
                </c:pt>
                <c:pt idx="23">
                  <c:v>213.83999999999997</c:v>
                </c:pt>
                <c:pt idx="24">
                  <c:v>59.4</c:v>
                </c:pt>
                <c:pt idx="25">
                  <c:v>40.094999999999999</c:v>
                </c:pt>
                <c:pt idx="26">
                  <c:v>157.40999999999997</c:v>
                </c:pt>
                <c:pt idx="27">
                  <c:v>8.91</c:v>
                </c:pt>
                <c:pt idx="28">
                  <c:v>53.46</c:v>
                </c:pt>
                <c:pt idx="29">
                  <c:v>22.274999999999999</c:v>
                </c:pt>
                <c:pt idx="30">
                  <c:v>49.005000000000003</c:v>
                </c:pt>
                <c:pt idx="31">
                  <c:v>26.73</c:v>
                </c:pt>
                <c:pt idx="32">
                  <c:v>163.35</c:v>
                </c:pt>
                <c:pt idx="33">
                  <c:v>68.309999999999988</c:v>
                </c:pt>
                <c:pt idx="34">
                  <c:v>163.35</c:v>
                </c:pt>
                <c:pt idx="36">
                  <c:v>86.13</c:v>
                </c:pt>
                <c:pt idx="38">
                  <c:v>147.01499999999999</c:v>
                </c:pt>
                <c:pt idx="39">
                  <c:v>207.89999999999998</c:v>
                </c:pt>
                <c:pt idx="40">
                  <c:v>78.704999999999998</c:v>
                </c:pt>
                <c:pt idx="41">
                  <c:v>231.65999999999994</c:v>
                </c:pt>
                <c:pt idx="42">
                  <c:v>59.4</c:v>
                </c:pt>
              </c:numCache>
            </c:numRef>
          </c:val>
          <c:smooth val="0"/>
          <c:extLst>
            <c:ext xmlns:c16="http://schemas.microsoft.com/office/drawing/2014/chart" uri="{C3380CC4-5D6E-409C-BE32-E72D297353CC}">
              <c16:uniqueId val="{00000001-8C3B-4880-9B71-6045F2B280A5}"/>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145.82</c:v>
                </c:pt>
                <c:pt idx="1">
                  <c:v>23.774999999999999</c:v>
                </c:pt>
                <c:pt idx="2">
                  <c:v>85.59</c:v>
                </c:pt>
                <c:pt idx="3">
                  <c:v>274.20499999999998</c:v>
                </c:pt>
                <c:pt idx="4">
                  <c:v>145.82</c:v>
                </c:pt>
                <c:pt idx="5">
                  <c:v>38.04</c:v>
                </c:pt>
                <c:pt idx="6">
                  <c:v>171.18</c:v>
                </c:pt>
                <c:pt idx="7">
                  <c:v>15.85</c:v>
                </c:pt>
                <c:pt idx="8">
                  <c:v>171.18</c:v>
                </c:pt>
                <c:pt idx="9">
                  <c:v>109.36499999999999</c:v>
                </c:pt>
                <c:pt idx="10">
                  <c:v>187.02999999999997</c:v>
                </c:pt>
                <c:pt idx="12">
                  <c:v>104.61</c:v>
                </c:pt>
                <c:pt idx="13">
                  <c:v>47.55</c:v>
                </c:pt>
                <c:pt idx="14">
                  <c:v>63.4</c:v>
                </c:pt>
                <c:pt idx="15">
                  <c:v>23.774999999999999</c:v>
                </c:pt>
                <c:pt idx="16">
                  <c:v>23.774999999999999</c:v>
                </c:pt>
                <c:pt idx="17">
                  <c:v>158.5</c:v>
                </c:pt>
                <c:pt idx="18">
                  <c:v>131.55500000000001</c:v>
                </c:pt>
                <c:pt idx="19">
                  <c:v>47.55</c:v>
                </c:pt>
                <c:pt idx="20">
                  <c:v>9.51</c:v>
                </c:pt>
                <c:pt idx="21">
                  <c:v>117.28999999999999</c:v>
                </c:pt>
                <c:pt idx="22">
                  <c:v>188.61500000000001</c:v>
                </c:pt>
                <c:pt idx="23">
                  <c:v>47.55</c:v>
                </c:pt>
                <c:pt idx="24">
                  <c:v>128.38499999999999</c:v>
                </c:pt>
                <c:pt idx="25">
                  <c:v>101.44</c:v>
                </c:pt>
                <c:pt idx="26">
                  <c:v>109.36499999999999</c:v>
                </c:pt>
                <c:pt idx="27">
                  <c:v>467.57499999999999</c:v>
                </c:pt>
                <c:pt idx="28">
                  <c:v>101.44</c:v>
                </c:pt>
                <c:pt idx="30">
                  <c:v>52.305</c:v>
                </c:pt>
                <c:pt idx="31">
                  <c:v>28.53</c:v>
                </c:pt>
                <c:pt idx="33">
                  <c:v>129.97</c:v>
                </c:pt>
                <c:pt idx="34">
                  <c:v>88.76</c:v>
                </c:pt>
                <c:pt idx="35">
                  <c:v>155.32999999999998</c:v>
                </c:pt>
                <c:pt idx="36">
                  <c:v>320.17</c:v>
                </c:pt>
                <c:pt idx="37">
                  <c:v>64.984999999999999</c:v>
                </c:pt>
                <c:pt idx="38">
                  <c:v>139.47999999999999</c:v>
                </c:pt>
                <c:pt idx="39">
                  <c:v>38.04</c:v>
                </c:pt>
                <c:pt idx="40">
                  <c:v>84.004999999999995</c:v>
                </c:pt>
                <c:pt idx="41">
                  <c:v>145.82</c:v>
                </c:pt>
                <c:pt idx="42">
                  <c:v>79.25</c:v>
                </c:pt>
              </c:numCache>
            </c:numRef>
          </c:val>
          <c:smooth val="0"/>
          <c:extLst>
            <c:ext xmlns:c16="http://schemas.microsoft.com/office/drawing/2014/chart" uri="{C3380CC4-5D6E-409C-BE32-E72D297353CC}">
              <c16:uniqueId val="{00000002-8C3B-4880-9B71-6045F2B280A5}"/>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21.509999999999998</c:v>
                </c:pt>
                <c:pt idx="1">
                  <c:v>71.699999999999989</c:v>
                </c:pt>
                <c:pt idx="2">
                  <c:v>92.014999999999986</c:v>
                </c:pt>
                <c:pt idx="3">
                  <c:v>90.82</c:v>
                </c:pt>
                <c:pt idx="5">
                  <c:v>155.34999999999997</c:v>
                </c:pt>
                <c:pt idx="7">
                  <c:v>43.019999999999996</c:v>
                </c:pt>
                <c:pt idx="8">
                  <c:v>54.969999999999992</c:v>
                </c:pt>
                <c:pt idx="9">
                  <c:v>164.91</c:v>
                </c:pt>
                <c:pt idx="10">
                  <c:v>7.169999999999999</c:v>
                </c:pt>
                <c:pt idx="11">
                  <c:v>190.00499999999997</c:v>
                </c:pt>
                <c:pt idx="12">
                  <c:v>150.57</c:v>
                </c:pt>
                <c:pt idx="13">
                  <c:v>371.64499999999992</c:v>
                </c:pt>
                <c:pt idx="17">
                  <c:v>109.93999999999998</c:v>
                </c:pt>
                <c:pt idx="18">
                  <c:v>143.39999999999998</c:v>
                </c:pt>
                <c:pt idx="19">
                  <c:v>35.849999999999994</c:v>
                </c:pt>
                <c:pt idx="20">
                  <c:v>215.09999999999997</c:v>
                </c:pt>
                <c:pt idx="21">
                  <c:v>174.46999999999997</c:v>
                </c:pt>
                <c:pt idx="22">
                  <c:v>27.484999999999996</c:v>
                </c:pt>
                <c:pt idx="24">
                  <c:v>3.5849999999999995</c:v>
                </c:pt>
                <c:pt idx="26">
                  <c:v>82.454999999999984</c:v>
                </c:pt>
                <c:pt idx="27">
                  <c:v>23.9</c:v>
                </c:pt>
                <c:pt idx="28">
                  <c:v>221.07499999999996</c:v>
                </c:pt>
                <c:pt idx="29">
                  <c:v>17.924999999999997</c:v>
                </c:pt>
                <c:pt idx="30">
                  <c:v>145.78999999999996</c:v>
                </c:pt>
                <c:pt idx="31">
                  <c:v>114.71999999999998</c:v>
                </c:pt>
                <c:pt idx="32">
                  <c:v>181.63999999999996</c:v>
                </c:pt>
                <c:pt idx="33">
                  <c:v>88.429999999999993</c:v>
                </c:pt>
                <c:pt idx="34">
                  <c:v>35.849999999999994</c:v>
                </c:pt>
                <c:pt idx="35">
                  <c:v>185.22499999999997</c:v>
                </c:pt>
                <c:pt idx="36">
                  <c:v>56.164999999999999</c:v>
                </c:pt>
                <c:pt idx="37">
                  <c:v>35.849999999999994</c:v>
                </c:pt>
                <c:pt idx="38">
                  <c:v>252.14499999999998</c:v>
                </c:pt>
                <c:pt idx="39">
                  <c:v>28.679999999999996</c:v>
                </c:pt>
                <c:pt idx="40">
                  <c:v>109.94</c:v>
                </c:pt>
                <c:pt idx="41">
                  <c:v>7.169999999999999</c:v>
                </c:pt>
                <c:pt idx="42">
                  <c:v>14.339999999999998</c:v>
                </c:pt>
                <c:pt idx="43">
                  <c:v>34.655000000000001</c:v>
                </c:pt>
              </c:numCache>
            </c:numRef>
          </c:val>
          <c:smooth val="0"/>
          <c:extLst>
            <c:ext xmlns:c16="http://schemas.microsoft.com/office/drawing/2014/chart" uri="{C3380CC4-5D6E-409C-BE32-E72D297353CC}">
              <c16:uniqueId val="{00000003-8C3B-4880-9B71-6045F2B280A5}"/>
            </c:ext>
          </c:extLst>
        </c:ser>
        <c:dLbls>
          <c:showLegendKey val="0"/>
          <c:showVal val="0"/>
          <c:showCatName val="0"/>
          <c:showSerName val="0"/>
          <c:showPercent val="0"/>
          <c:showBubbleSize val="0"/>
        </c:dLbls>
        <c:smooth val="0"/>
        <c:axId val="590953296"/>
        <c:axId val="590952816"/>
      </c:lineChart>
      <c:catAx>
        <c:axId val="59095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590952816"/>
        <c:crosses val="autoZero"/>
        <c:auto val="1"/>
        <c:lblAlgn val="ctr"/>
        <c:lblOffset val="100"/>
        <c:noMultiLvlLbl val="0"/>
      </c:catAx>
      <c:valAx>
        <c:axId val="59095281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59095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4DFB1"/>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[CoffeeOrdersDashboard.xlsx]Country BarChart!Total Sales</c:name>
    <c:fmtId val="12"/>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solidFill>
                  <a:schemeClr val="accent2">
                    <a:lumMod val="75000"/>
                  </a:schemeClr>
                </a:solidFill>
              </a:rPr>
              <a:t>Total Sales by Country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alpha val="52000"/>
            </a:schemeClr>
          </a:solidFill>
          <a:ln>
            <a:noFill/>
          </a:ln>
          <a:effectLst/>
        </c:spPr>
      </c:pivotFmt>
      <c:pivotFmt>
        <c:idx val="3"/>
        <c:spPr>
          <a:solidFill>
            <a:schemeClr val="accent6">
              <a:lumMod val="75000"/>
              <a:alpha val="25000"/>
            </a:schemeClr>
          </a:solidFill>
          <a:ln>
            <a:no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alpha val="25000"/>
                </a:schemeClr>
              </a:solidFill>
              <a:ln>
                <a:noFill/>
              </a:ln>
              <a:effectLst/>
            </c:spPr>
            <c:extLst>
              <c:ext xmlns:c16="http://schemas.microsoft.com/office/drawing/2014/chart" uri="{C3380CC4-5D6E-409C-BE32-E72D297353CC}">
                <c16:uniqueId val="{00000004-D07F-4C3B-A26B-359D7F77DBCF}"/>
              </c:ext>
            </c:extLst>
          </c:dPt>
          <c:dPt>
            <c:idx val="1"/>
            <c:invertIfNegative val="0"/>
            <c:bubble3D val="0"/>
            <c:spPr>
              <a:solidFill>
                <a:schemeClr val="accent6">
                  <a:lumMod val="75000"/>
                  <a:alpha val="52000"/>
                </a:schemeClr>
              </a:solidFill>
              <a:ln>
                <a:noFill/>
              </a:ln>
              <a:effectLst/>
            </c:spPr>
            <c:extLst>
              <c:ext xmlns:c16="http://schemas.microsoft.com/office/drawing/2014/chart" uri="{C3380CC4-5D6E-409C-BE32-E72D297353CC}">
                <c16:uniqueId val="{00000003-D07F-4C3B-A26B-359D7F77DB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_([$$-409]* #,##0.00_);_([$$-409]* \(#,##0.00\);_([$$-409]* "-"??_);_(@_)</c:formatCode>
                <c:ptCount val="3"/>
                <c:pt idx="0">
                  <c:v>943.39499999999975</c:v>
                </c:pt>
                <c:pt idx="1">
                  <c:v>2605.3299999999995</c:v>
                </c:pt>
                <c:pt idx="2">
                  <c:v>13805.739999999994</c:v>
                </c:pt>
              </c:numCache>
            </c:numRef>
          </c:val>
          <c:extLst>
            <c:ext xmlns:c16="http://schemas.microsoft.com/office/drawing/2014/chart" uri="{C3380CC4-5D6E-409C-BE32-E72D297353CC}">
              <c16:uniqueId val="{00000000-D07F-4C3B-A26B-359D7F77DBCF}"/>
            </c:ext>
          </c:extLst>
        </c:ser>
        <c:dLbls>
          <c:showLegendKey val="0"/>
          <c:showVal val="0"/>
          <c:showCatName val="0"/>
          <c:showSerName val="0"/>
          <c:showPercent val="0"/>
          <c:showBubbleSize val="0"/>
        </c:dLbls>
        <c:gapWidth val="182"/>
        <c:axId val="314520176"/>
        <c:axId val="314518736"/>
      </c:barChart>
      <c:catAx>
        <c:axId val="31452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314518736"/>
        <c:crosses val="autoZero"/>
        <c:auto val="1"/>
        <c:lblAlgn val="ctr"/>
        <c:lblOffset val="100"/>
        <c:noMultiLvlLbl val="0"/>
      </c:catAx>
      <c:valAx>
        <c:axId val="314518736"/>
        <c:scaling>
          <c:orientation val="minMax"/>
        </c:scaling>
        <c:delete val="0"/>
        <c:axPos val="b"/>
        <c:majorGridlines>
          <c:spPr>
            <a:ln w="9525" cap="flat" cmpd="sng" algn="ctr">
              <a:solidFill>
                <a:schemeClr val="accent6">
                  <a:lumMod val="40000"/>
                  <a:lumOff val="60000"/>
                </a:schemeClr>
              </a:solidFill>
              <a:prstDash val="sysDot"/>
              <a:round/>
            </a:ln>
            <a:effectLst/>
          </c:spPr>
        </c:majorGridlines>
        <c:numFmt formatCode="&quot;$&quot;#,##0" sourceLinked="0"/>
        <c:majorTickMark val="none"/>
        <c:minorTickMark val="none"/>
        <c:tickLblPos val="nextTo"/>
        <c:spPr>
          <a:noFill/>
          <a:ln>
            <a:solidFill>
              <a:schemeClr val="bg1">
                <a:alpha val="97000"/>
              </a:schemeClr>
            </a:solid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31452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[CoffeeOrdersDashboard.xlsx]Top 5 Customers!Total Sales</c:name>
    <c:fmtId val="14"/>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solidFill>
                  <a:schemeClr val="accent2">
                    <a:lumMod val="75000"/>
                  </a:schemeClr>
                </a:solidFill>
              </a:rPr>
              <a:t>Top 5 Customers by Sales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alpha val="52000"/>
            </a:schemeClr>
          </a:solidFill>
          <a:ln>
            <a:noFill/>
          </a:ln>
          <a:effectLst/>
        </c:spPr>
      </c:pivotFmt>
      <c:pivotFmt>
        <c:idx val="3"/>
        <c:spPr>
          <a:solidFill>
            <a:schemeClr val="accent6">
              <a:lumMod val="75000"/>
              <a:alpha val="25000"/>
            </a:schemeClr>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alpha val="25000"/>
            </a:schemeClr>
          </a:solidFill>
          <a:ln>
            <a:noFill/>
          </a:ln>
          <a:effectLst/>
        </c:spPr>
      </c:pivotFmt>
      <c:pivotFmt>
        <c:idx val="6"/>
        <c:spPr>
          <a:solidFill>
            <a:schemeClr val="accent6">
              <a:lumMod val="75000"/>
              <a:alpha val="52000"/>
            </a:schemeClr>
          </a:solidFill>
          <a:ln>
            <a:noFill/>
          </a:ln>
          <a:effectLst/>
        </c:spPr>
      </c:pivotFmt>
    </c:pivotFmts>
    <c:plotArea>
      <c:layout/>
      <c:barChart>
        <c:barDir val="bar"/>
        <c:grouping val="clustered"/>
        <c:varyColors val="0"/>
        <c:ser>
          <c:idx val="0"/>
          <c:order val="0"/>
          <c:tx>
            <c:strRef>
              <c:f>'Top 5 Customers'!$B$3</c:f>
              <c:strCache>
                <c:ptCount val="1"/>
                <c:pt idx="0">
                  <c:v>Total</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1-60F1-4082-8C8A-3585A90C4EB6}"/>
              </c:ext>
            </c:extLst>
          </c:dPt>
          <c:dPt>
            <c:idx val="1"/>
            <c:invertIfNegative val="0"/>
            <c:bubble3D val="0"/>
            <c:extLst>
              <c:ext xmlns:c16="http://schemas.microsoft.com/office/drawing/2014/chart" uri="{C3380CC4-5D6E-409C-BE32-E72D297353CC}">
                <c16:uniqueId val="{00000003-60F1-4082-8C8A-3585A90C4E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Customers'!$A$4:$A$12</c:f>
              <c:strCache>
                <c:ptCount val="9"/>
                <c:pt idx="0">
                  <c:v>Elysee Sketch</c:v>
                </c:pt>
                <c:pt idx="1">
                  <c:v>Teddi Crowthe</c:v>
                </c:pt>
                <c:pt idx="2">
                  <c:v>Shelli Keynd</c:v>
                </c:pt>
                <c:pt idx="3">
                  <c:v>Lacee Tanti</c:v>
                </c:pt>
                <c:pt idx="4">
                  <c:v>Daniel Heinonen</c:v>
                </c:pt>
                <c:pt idx="5">
                  <c:v>Nanny Lush</c:v>
                </c:pt>
                <c:pt idx="6">
                  <c:v>Allis Wilmore</c:v>
                </c:pt>
                <c:pt idx="7">
                  <c:v>Alexa Sizey</c:v>
                </c:pt>
                <c:pt idx="8">
                  <c:v>Brenn Dundredge</c:v>
                </c:pt>
              </c:strCache>
            </c:strRef>
          </c:cat>
          <c:val>
            <c:numRef>
              <c:f>'Top 5 Customers'!$B$4:$B$12</c:f>
              <c:numCache>
                <c:formatCode>_([$$-409]* #,##0.00_);_([$$-409]* \(#,##0.00\);_([$$-409]* "-"??_);_(@_)</c:formatCode>
                <c:ptCount val="9"/>
                <c:pt idx="0">
                  <c:v>204.92999999999995</c:v>
                </c:pt>
                <c:pt idx="1">
                  <c:v>204.92999999999995</c:v>
                </c:pt>
                <c:pt idx="2">
                  <c:v>204.92999999999995</c:v>
                </c:pt>
                <c:pt idx="3">
                  <c:v>204.92999999999995</c:v>
                </c:pt>
                <c:pt idx="4">
                  <c:v>204.92999999999995</c:v>
                </c:pt>
                <c:pt idx="5">
                  <c:v>204.92999999999995</c:v>
                </c:pt>
                <c:pt idx="6">
                  <c:v>216.67499999999998</c:v>
                </c:pt>
                <c:pt idx="7">
                  <c:v>218.73</c:v>
                </c:pt>
                <c:pt idx="8">
                  <c:v>252.24999999999994</c:v>
                </c:pt>
              </c:numCache>
            </c:numRef>
          </c:val>
          <c:extLst>
            <c:ext xmlns:c16="http://schemas.microsoft.com/office/drawing/2014/chart" uri="{C3380CC4-5D6E-409C-BE32-E72D297353CC}">
              <c16:uniqueId val="{00000004-60F1-4082-8C8A-3585A90C4EB6}"/>
            </c:ext>
          </c:extLst>
        </c:ser>
        <c:dLbls>
          <c:showLegendKey val="0"/>
          <c:showVal val="0"/>
          <c:showCatName val="0"/>
          <c:showSerName val="0"/>
          <c:showPercent val="0"/>
          <c:showBubbleSize val="0"/>
        </c:dLbls>
        <c:gapWidth val="182"/>
        <c:axId val="314520176"/>
        <c:axId val="314518736"/>
      </c:barChart>
      <c:catAx>
        <c:axId val="31452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314518736"/>
        <c:crosses val="autoZero"/>
        <c:auto val="1"/>
        <c:lblAlgn val="ctr"/>
        <c:lblOffset val="100"/>
        <c:noMultiLvlLbl val="0"/>
      </c:catAx>
      <c:valAx>
        <c:axId val="314518736"/>
        <c:scaling>
          <c:orientation val="minMax"/>
        </c:scaling>
        <c:delete val="0"/>
        <c:axPos val="b"/>
        <c:majorGridlines>
          <c:spPr>
            <a:ln w="9525" cap="flat" cmpd="sng" algn="ctr">
              <a:solidFill>
                <a:schemeClr val="accent6">
                  <a:lumMod val="40000"/>
                  <a:lumOff val="60000"/>
                </a:schemeClr>
              </a:solidFill>
              <a:prstDash val="sysDot"/>
              <a:round/>
            </a:ln>
            <a:effectLst/>
          </c:spPr>
        </c:majorGridlines>
        <c:numFmt formatCode="&quot;$&quot;#,##0" sourceLinked="0"/>
        <c:majorTickMark val="none"/>
        <c:minorTickMark val="none"/>
        <c:tickLblPos val="nextTo"/>
        <c:spPr>
          <a:noFill/>
          <a:ln>
            <a:solidFill>
              <a:schemeClr val="bg1">
                <a:alpha val="97000"/>
              </a:schemeClr>
            </a:solid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31452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0</xdr:rowOff>
    </xdr:from>
    <xdr:to>
      <xdr:col>23</xdr:col>
      <xdr:colOff>542925</xdr:colOff>
      <xdr:row>6</xdr:row>
      <xdr:rowOff>133350</xdr:rowOff>
    </xdr:to>
    <xdr:sp macro="" textlink="">
      <xdr:nvSpPr>
        <xdr:cNvPr id="3" name="Rectangle 2">
          <a:extLst>
            <a:ext uri="{FF2B5EF4-FFF2-40B4-BE49-F238E27FC236}">
              <a16:creationId xmlns:a16="http://schemas.microsoft.com/office/drawing/2014/main" id="{0083F47A-1FCB-C5A7-B608-E518F06C7454}"/>
            </a:ext>
          </a:extLst>
        </xdr:cNvPr>
        <xdr:cNvSpPr/>
      </xdr:nvSpPr>
      <xdr:spPr>
        <a:xfrm>
          <a:off x="95250" y="0"/>
          <a:ext cx="13973175" cy="11430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4</xdr:col>
      <xdr:colOff>95250</xdr:colOff>
      <xdr:row>2</xdr:row>
      <xdr:rowOff>28575</xdr:rowOff>
    </xdr:from>
    <xdr:ext cx="10277475" cy="649730"/>
    <xdr:sp macro="" textlink="">
      <xdr:nvSpPr>
        <xdr:cNvPr id="4" name="TextBox 3">
          <a:extLst>
            <a:ext uri="{FF2B5EF4-FFF2-40B4-BE49-F238E27FC236}">
              <a16:creationId xmlns:a16="http://schemas.microsoft.com/office/drawing/2014/main" id="{E0C8D944-FC45-4239-2CA9-8767C2D96E47}"/>
            </a:ext>
          </a:extLst>
        </xdr:cNvPr>
        <xdr:cNvSpPr txBox="1"/>
      </xdr:nvSpPr>
      <xdr:spPr>
        <a:xfrm>
          <a:off x="2038350" y="276225"/>
          <a:ext cx="10277475" cy="649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400" b="1">
              <a:solidFill>
                <a:schemeClr val="accent2">
                  <a:lumMod val="50000"/>
                </a:schemeClr>
              </a:solidFill>
              <a:latin typeface="Aharoni" panose="020F0502020204030204" pitchFamily="2" charset="-79"/>
              <a:cs typeface="Aharoni" panose="020F0502020204030204" pitchFamily="2" charset="-79"/>
            </a:rPr>
            <a:t>Coffee Sales Performance Dashboard</a:t>
          </a:r>
        </a:p>
      </xdr:txBody>
    </xdr:sp>
    <xdr:clientData/>
  </xdr:oneCellAnchor>
  <xdr:twoCellAnchor editAs="oneCell">
    <xdr:from>
      <xdr:col>1</xdr:col>
      <xdr:colOff>0</xdr:colOff>
      <xdr:row>6</xdr:row>
      <xdr:rowOff>161924</xdr:rowOff>
    </xdr:from>
    <xdr:to>
      <xdr:col>16</xdr:col>
      <xdr:colOff>28575</xdr:colOff>
      <xdr:row>15</xdr:row>
      <xdr:rowOff>19049</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E248F3B1-529D-4E7B-8F99-B7D896D9A497}"/>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4300" y="1171574"/>
              <a:ext cx="9172575" cy="15716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104775</xdr:colOff>
      <xdr:row>14</xdr:row>
      <xdr:rowOff>85725</xdr:rowOff>
    </xdr:from>
    <xdr:to>
      <xdr:col>16</xdr:col>
      <xdr:colOff>19050</xdr:colOff>
      <xdr:row>38</xdr:row>
      <xdr:rowOff>47625</xdr:rowOff>
    </xdr:to>
    <xdr:graphicFrame macro="">
      <xdr:nvGraphicFramePr>
        <xdr:cNvPr id="6" name="Chart 5">
          <a:extLst>
            <a:ext uri="{FF2B5EF4-FFF2-40B4-BE49-F238E27FC236}">
              <a16:creationId xmlns:a16="http://schemas.microsoft.com/office/drawing/2014/main" id="{E51B4ADF-5A8C-4379-9AD1-8BB73AD1F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38099</xdr:colOff>
      <xdr:row>6</xdr:row>
      <xdr:rowOff>161925</xdr:rowOff>
    </xdr:from>
    <xdr:to>
      <xdr:col>23</xdr:col>
      <xdr:colOff>542924</xdr:colOff>
      <xdr:row>10</xdr:row>
      <xdr:rowOff>47625</xdr:rowOff>
    </xdr:to>
    <mc:AlternateContent xmlns:mc="http://schemas.openxmlformats.org/markup-compatibility/2006" xmlns:a14="http://schemas.microsoft.com/office/drawing/2010/main">
      <mc:Choice Requires="a14">
        <xdr:graphicFrame macro="">
          <xdr:nvGraphicFramePr>
            <xdr:cNvPr id="7" name="Roast Type Name 1">
              <a:extLst>
                <a:ext uri="{FF2B5EF4-FFF2-40B4-BE49-F238E27FC236}">
                  <a16:creationId xmlns:a16="http://schemas.microsoft.com/office/drawing/2014/main" id="{BE9A7D79-55E6-456C-AD43-560CD2DEF30B}"/>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9296399" y="1171575"/>
              <a:ext cx="4772025"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47623</xdr:colOff>
      <xdr:row>10</xdr:row>
      <xdr:rowOff>28575</xdr:rowOff>
    </xdr:from>
    <xdr:to>
      <xdr:col>20</xdr:col>
      <xdr:colOff>390524</xdr:colOff>
      <xdr:row>15</xdr:row>
      <xdr:rowOff>47624</xdr:rowOff>
    </xdr:to>
    <mc:AlternateContent xmlns:mc="http://schemas.openxmlformats.org/markup-compatibility/2006" xmlns:a14="http://schemas.microsoft.com/office/drawing/2010/main">
      <mc:Choice Requires="a14">
        <xdr:graphicFrame macro="">
          <xdr:nvGraphicFramePr>
            <xdr:cNvPr id="8" name="Size 1">
              <a:extLst>
                <a:ext uri="{FF2B5EF4-FFF2-40B4-BE49-F238E27FC236}">
                  <a16:creationId xmlns:a16="http://schemas.microsoft.com/office/drawing/2014/main" id="{40FE0ADB-6CC1-46EF-B93B-5465174DF99D}"/>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9305923" y="1800225"/>
              <a:ext cx="2781301" cy="971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400050</xdr:colOff>
      <xdr:row>10</xdr:row>
      <xdr:rowOff>38100</xdr:rowOff>
    </xdr:from>
    <xdr:to>
      <xdr:col>23</xdr:col>
      <xdr:colOff>552450</xdr:colOff>
      <xdr:row>15</xdr:row>
      <xdr:rowOff>47625</xdr:rowOff>
    </xdr:to>
    <mc:AlternateContent xmlns:mc="http://schemas.openxmlformats.org/markup-compatibility/2006" xmlns:a14="http://schemas.microsoft.com/office/drawing/2010/main">
      <mc:Choice Requires="a14">
        <xdr:graphicFrame macro="">
          <xdr:nvGraphicFramePr>
            <xdr:cNvPr id="9" name="Loyalty Card 1">
              <a:extLst>
                <a:ext uri="{FF2B5EF4-FFF2-40B4-BE49-F238E27FC236}">
                  <a16:creationId xmlns:a16="http://schemas.microsoft.com/office/drawing/2014/main" id="{47D7EB90-6BDC-4744-BABF-7EF4226BE0B5}"/>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2096750" y="1809750"/>
              <a:ext cx="19812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66675</xdr:colOff>
      <xdr:row>15</xdr:row>
      <xdr:rowOff>85726</xdr:rowOff>
    </xdr:from>
    <xdr:to>
      <xdr:col>23</xdr:col>
      <xdr:colOff>552451</xdr:colOff>
      <xdr:row>26</xdr:row>
      <xdr:rowOff>85726</xdr:rowOff>
    </xdr:to>
    <xdr:graphicFrame macro="">
      <xdr:nvGraphicFramePr>
        <xdr:cNvPr id="10" name="Chart 9">
          <a:extLst>
            <a:ext uri="{FF2B5EF4-FFF2-40B4-BE49-F238E27FC236}">
              <a16:creationId xmlns:a16="http://schemas.microsoft.com/office/drawing/2014/main" id="{763F5CFB-AF7D-4377-B043-4814DA16F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66675</xdr:colOff>
      <xdr:row>26</xdr:row>
      <xdr:rowOff>123825</xdr:rowOff>
    </xdr:from>
    <xdr:to>
      <xdr:col>23</xdr:col>
      <xdr:colOff>571500</xdr:colOff>
      <xdr:row>38</xdr:row>
      <xdr:rowOff>28574</xdr:rowOff>
    </xdr:to>
    <xdr:graphicFrame macro="">
      <xdr:nvGraphicFramePr>
        <xdr:cNvPr id="2" name="Chart 1">
          <a:extLst>
            <a:ext uri="{FF2B5EF4-FFF2-40B4-BE49-F238E27FC236}">
              <a16:creationId xmlns:a16="http://schemas.microsoft.com/office/drawing/2014/main" id="{086818F5-CD69-4880-BC05-E69ED9043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361949</xdr:colOff>
      <xdr:row>1</xdr:row>
      <xdr:rowOff>166687</xdr:rowOff>
    </xdr:from>
    <xdr:to>
      <xdr:col>17</xdr:col>
      <xdr:colOff>142874</xdr:colOff>
      <xdr:row>21</xdr:row>
      <xdr:rowOff>28575</xdr:rowOff>
    </xdr:to>
    <xdr:graphicFrame macro="">
      <xdr:nvGraphicFramePr>
        <xdr:cNvPr id="2" name="Chart 1">
          <a:extLst>
            <a:ext uri="{FF2B5EF4-FFF2-40B4-BE49-F238E27FC236}">
              <a16:creationId xmlns:a16="http://schemas.microsoft.com/office/drawing/2014/main" id="{6C1C2A05-B1A4-20CD-A9F0-3E0FA0AE8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152399</xdr:colOff>
      <xdr:row>14</xdr:row>
      <xdr:rowOff>95250</xdr:rowOff>
    </xdr:from>
    <xdr:to>
      <xdr:col>36</xdr:col>
      <xdr:colOff>180974</xdr:colOff>
      <xdr:row>21</xdr:row>
      <xdr:rowOff>133350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9FD9BF07-5D95-40E8-1496-E851154C11C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4462311" y="2762250"/>
              <a:ext cx="9105339"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247650</xdr:colOff>
      <xdr:row>5</xdr:row>
      <xdr:rowOff>171451</xdr:rowOff>
    </xdr:from>
    <xdr:to>
      <xdr:col>24</xdr:col>
      <xdr:colOff>247650</xdr:colOff>
      <xdr:row>11</xdr:row>
      <xdr:rowOff>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02FA5E35-53EB-1390-D897-D7111C28DE8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4630400" y="1123951"/>
              <a:ext cx="1828800" cy="971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257174</xdr:colOff>
      <xdr:row>2</xdr:row>
      <xdr:rowOff>9526</xdr:rowOff>
    </xdr:from>
    <xdr:to>
      <xdr:col>26</xdr:col>
      <xdr:colOff>533400</xdr:colOff>
      <xdr:row>5</xdr:row>
      <xdr:rowOff>171450</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B59ACB86-9407-6F5D-429E-E845B39CFCD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4639924" y="390526"/>
              <a:ext cx="3324226" cy="733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247649</xdr:colOff>
      <xdr:row>5</xdr:row>
      <xdr:rowOff>171449</xdr:rowOff>
    </xdr:from>
    <xdr:to>
      <xdr:col>26</xdr:col>
      <xdr:colOff>523875</xdr:colOff>
      <xdr:row>10</xdr:row>
      <xdr:rowOff>180974</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19111051-8DF3-4774-21AC-9E6240E817F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6459199" y="1123949"/>
              <a:ext cx="1495426"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161924</xdr:colOff>
      <xdr:row>1</xdr:row>
      <xdr:rowOff>180975</xdr:rowOff>
    </xdr:from>
    <xdr:to>
      <xdr:col>11</xdr:col>
      <xdr:colOff>561975</xdr:colOff>
      <xdr:row>20</xdr:row>
      <xdr:rowOff>109536</xdr:rowOff>
    </xdr:to>
    <xdr:graphicFrame macro="">
      <xdr:nvGraphicFramePr>
        <xdr:cNvPr id="7" name="Chart 6">
          <a:extLst>
            <a:ext uri="{FF2B5EF4-FFF2-40B4-BE49-F238E27FC236}">
              <a16:creationId xmlns:a16="http://schemas.microsoft.com/office/drawing/2014/main" id="{7910F1C7-C565-A17B-77CF-039914076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142874</xdr:colOff>
      <xdr:row>2</xdr:row>
      <xdr:rowOff>9525</xdr:rowOff>
    </xdr:from>
    <xdr:to>
      <xdr:col>11</xdr:col>
      <xdr:colOff>542925</xdr:colOff>
      <xdr:row>20</xdr:row>
      <xdr:rowOff>128586</xdr:rowOff>
    </xdr:to>
    <xdr:graphicFrame macro="">
      <xdr:nvGraphicFramePr>
        <xdr:cNvPr id="2" name="Chart 1">
          <a:extLst>
            <a:ext uri="{FF2B5EF4-FFF2-40B4-BE49-F238E27FC236}">
              <a16:creationId xmlns:a16="http://schemas.microsoft.com/office/drawing/2014/main" id="{DE008BEA-59D4-4F09-BC5D-3E9D9E42D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adhya Acharya" refreshedDate="46031.806346064812" createdVersion="8" refreshedVersion="8" minRefreshableVersion="3" recordCount="1000" xr:uid="{FE5F9E2B-6B0B-4CD2-9D18-F9487A7196EC}">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3279380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A59EEE-C43E-406D-ACD5-13652486B294}"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7"/>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F3BC10-0DA9-4AF8-9901-05A8C53D4D18}"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7"/>
  </dataFields>
  <chartFormats count="10">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7" count="1" selected="0">
            <x v="2"/>
          </reference>
        </references>
      </pivotArea>
    </chartFormat>
    <chartFormat chart="12" format="2">
      <pivotArea type="data" outline="0" fieldPosition="0">
        <references count="2">
          <reference field="4294967294" count="1" selected="0">
            <x v="0"/>
          </reference>
          <reference field="7" count="1" selected="0">
            <x v="0"/>
          </reference>
        </references>
      </pivotArea>
    </chartFormat>
    <chartFormat chart="12" format="3">
      <pivotArea type="data" outline="0" fieldPosition="0">
        <references count="2">
          <reference field="4294967294" count="1" selected="0">
            <x v="0"/>
          </reference>
          <reference field="7"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7" count="1" selected="0">
            <x v="1"/>
          </reference>
        </references>
      </pivotArea>
    </chartFormat>
    <chartFormat chart="14" format="6">
      <pivotArea type="data" outline="0" fieldPosition="0">
        <references count="2">
          <reference field="4294967294" count="1" selected="0">
            <x v="0"/>
          </reference>
          <reference field="7" count="1" selected="0">
            <x v="0"/>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7" count="1" selected="0">
            <x v="1"/>
          </reference>
        </references>
      </pivotArea>
    </chartFormat>
    <chartFormat chart="15" format="9">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9B271C-112A-4C01-922E-4C5721EDABBB}"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B12"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9">
    <i>
      <x v="289"/>
    </i>
    <i>
      <x v="826"/>
    </i>
    <i>
      <x v="785"/>
    </i>
    <i>
      <x v="518"/>
    </i>
    <i>
      <x v="218"/>
    </i>
    <i>
      <x v="639"/>
    </i>
    <i>
      <x v="28"/>
    </i>
    <i>
      <x v="20"/>
    </i>
    <i>
      <x v="125"/>
    </i>
  </rowItems>
  <colItems count="1">
    <i/>
  </colItems>
  <dataFields count="1">
    <dataField name="Sum of Sales" fld="12" baseField="0" baseItem="0" numFmtId="167"/>
  </dataFields>
  <chartFormats count="4">
    <chartFormat chart="4" format="1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77B9FA69-E770-4717-A561-D8DFB0F676B1}" sourceName="Loyalty Card">
  <pivotTables>
    <pivotTable tabId="18" name="Total Sales"/>
    <pivotTable tabId="19" name="Total Sales"/>
    <pivotTable tabId="20" name="Total Sales"/>
  </pivotTables>
  <data>
    <tabular pivotCacheId="132793802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B1D2DC7-5311-4A2C-9236-106F4C5088ED}" sourceName="Size">
  <pivotTables>
    <pivotTable tabId="18" name="Total Sales"/>
    <pivotTable tabId="19" name="Total Sales"/>
    <pivotTable tabId="20" name="Total Sales"/>
  </pivotTables>
  <data>
    <tabular pivotCacheId="1327938022">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D1B72EF-ED59-4C09-8BD1-52D10637AF93}" sourceName="Roast Type Name">
  <pivotTables>
    <pivotTable tabId="18" name="Total Sales"/>
    <pivotTable tabId="19" name="Total Sales"/>
    <pivotTable tabId="20" name="Total Sales"/>
  </pivotTables>
  <data>
    <tabular pivotCacheId="1327938022">
      <items count="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B48AFF08-9923-4DA3-B40E-960414CE31E2}" cache="Slicer_Loyalty_Card" caption="Loyalty Card" style="SlicerStyleLight6" rowHeight="241300"/>
  <slicer name="Size 1" xr10:uid="{3AC16970-BA53-4146-B673-298698B2D5A3}" cache="Slicer_Size" caption="Size" columnCount="2" style="SlicerStyleLight6" rowHeight="241300"/>
  <slicer name="Roast Type Name 1" xr10:uid="{66405541-56A9-4D1E-8008-579500C8E70B}" cache="Slicer_Roast_Type_Name" caption="Roast Type Name" columnCount="3"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7C21B644-668D-4A73-AEA0-00B78B03F94C}" cache="Slicer_Loyalty_Card" caption="Loyalty Card" style="SlicerStyleLight6" rowHeight="241300"/>
  <slicer name="Size" xr10:uid="{D9D8AEA9-B657-4296-BF5E-0D5856F54891}" cache="Slicer_Size" caption="Size" columnCount="2" style="SlicerStyleLight6" rowHeight="241300"/>
  <slicer name="Roast Type Name" xr10:uid="{E7105807-F5CB-44B6-A256-87B2E90C3F1B}" cache="Slicer_Roast_Type_Name" caption="Roast Type Name" columnCount="3"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14AB0C-51C6-47D9-977C-1663BF4F7905}" name="Orders" displayName="Orders" ref="A1:P1001" totalsRowShown="0" headerRowDxfId="11">
  <autoFilter ref="A1:P1001" xr:uid="{CE14AB0C-51C6-47D9-977C-1663BF4F7905}"/>
  <tableColumns count="16">
    <tableColumn id="1" xr3:uid="{1010FC78-C76C-4D5B-9354-D3B855B0E9C2}" name="Order ID" dataDxfId="10"/>
    <tableColumn id="2" xr3:uid="{4240BBF6-B735-4A73-BF00-A4F85F4615E1}" name="Order Date" dataDxfId="9"/>
    <tableColumn id="3" xr3:uid="{12318D1C-5818-44CE-BA6C-F41BC8469131}" name="Customer ID" dataDxfId="8"/>
    <tableColumn id="4" xr3:uid="{D8ABC704-71AB-4187-A063-A20DF6918E93}" name="Product ID"/>
    <tableColumn id="5" xr3:uid="{52A8A8AF-27CC-40B5-B958-EDF5DEF9A7AD}" name="Quantity" dataDxfId="7"/>
    <tableColumn id="6" xr3:uid="{58CFE3F2-FCF7-481B-B28B-8D0DCDD1B19E}" name="Customer Name" dataDxfId="6">
      <calculatedColumnFormula>_xlfn.XLOOKUP(C2,customers!$A$1:$A$1001,customers!$B$1:$B$1001,,0)</calculatedColumnFormula>
    </tableColumn>
    <tableColumn id="7" xr3:uid="{A00A2899-BEED-4646-AD7D-BF1632E38A06}" name="Email" dataDxfId="5">
      <calculatedColumnFormula>IF(_xlfn.XLOOKUP(C2,customers!$A$1:$A$1001,customers!$C$1:$C$1001,,0)=0,"",_xlfn.XLOOKUP(C2,customers!$A$1:$A$1001,customers!$C$1:$C$1001,,0))</calculatedColumnFormula>
    </tableColumn>
    <tableColumn id="8" xr3:uid="{574A4D90-E2F8-486A-8E28-19A57D5DFD76}" name="Country" dataDxfId="4">
      <calculatedColumnFormula>_xlfn.XLOOKUP(C2,customers!$A$1:$A$1001,customers!$G$1:$G$1001,,0)</calculatedColumnFormula>
    </tableColumn>
    <tableColumn id="9" xr3:uid="{B7781223-4310-43F7-A4E9-5EE53DD6D6A3}" name="Coffee Type">
      <calculatedColumnFormula>INDEX(products!$A$1:$G$49, MATCH(orders!$D2, products!$A$1:$A$49, 0), MATCH(orders!I$1, products!$A$1:$G$1, 0))</calculatedColumnFormula>
    </tableColumn>
    <tableColumn id="10" xr3:uid="{D01021DF-7734-431C-96EE-70E0983F84B1}" name="Roast Type">
      <calculatedColumnFormula>INDEX(products!$A$1:$G$49, MATCH(orders!$D2, products!$A$1:$A$49, 0), MATCH(orders!J$1, products!$A$1:$G$1, 0))</calculatedColumnFormula>
    </tableColumn>
    <tableColumn id="11" xr3:uid="{F7408621-47E5-404F-93EB-91D26018C817}" name="Size" dataDxfId="3">
      <calculatedColumnFormula>INDEX(products!$A$1:$G$49, MATCH(orders!$D2, products!$A$1:$A$49, 0), MATCH(orders!K$1, products!$A$1:$G$1, 0))</calculatedColumnFormula>
    </tableColumn>
    <tableColumn id="12" xr3:uid="{9AC96F10-E183-4A27-BD5F-BCD9FE5702BD}" name="Unit Price" dataDxfId="2">
      <calculatedColumnFormula>INDEX(products!$A$1:$G$49, MATCH(orders!$D2, products!$A$1:$A$49, 0), MATCH(orders!L$1, products!$A$1:$G$1, 0))</calculatedColumnFormula>
    </tableColumn>
    <tableColumn id="13" xr3:uid="{B34C0377-092B-43D6-AE32-10D46EF9D539}" name="Sales" dataDxfId="1">
      <calculatedColumnFormula>L2*E2</calculatedColumnFormula>
    </tableColumn>
    <tableColumn id="14" xr3:uid="{AB58DEA0-EC19-4852-9DBD-80BBFAC8D9CF}" name="Coffee Type Name">
      <calculatedColumnFormula>IF(I2="Rob","Robusta",IF(I2="Exc","Excelsa",IF(I2="Ara","Arabica",IF(I2="Lib","Liberica",""))))</calculatedColumnFormula>
    </tableColumn>
    <tableColumn id="15" xr3:uid="{36C828AB-37D3-46D0-A2AB-B0002F8387C1}" name="Roast Type Name">
      <calculatedColumnFormula>IF(J2="M","Medium",IF(J2="L","Light",IF(J2="D","Dark","")))</calculatedColumnFormula>
    </tableColumn>
    <tableColumn id="16" xr3:uid="{B10D96C0-AB3B-4A14-A80F-3B0A33BDE2C6}"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187038E-4C6C-4E0C-A42C-BC541B089CE0}" sourceName="Order Date">
  <pivotTables>
    <pivotTable tabId="18" name="Total Sales"/>
    <pivotTable tabId="19" name="Total Sales"/>
    <pivotTable tabId="20" name="Total Sales"/>
  </pivotTables>
  <state minimalRefreshVersion="6" lastRefreshVersion="6" pivotCacheId="132793802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B8FC3BC-EC80-4872-B221-F9335B73E6DC}" cache="NativeTimeline_Order_Date" caption="Order Date" level="2" selectionLevel="2" scrollPosition="2019-01-01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DC74144-F071-4791-BDB7-A181DB85F51D}" cache="NativeTimeline_Order_Date" caption="Order Date" level="2" selectionLevel="2" scrollPosition="2019-01-01T00:00:00" style="TimeSlicerStyleLight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9A02B-94B9-4C25-ABD9-F2FE8E4515AA}">
  <dimension ref="A1"/>
  <sheetViews>
    <sheetView showGridLines="0" tabSelected="1" zoomScaleNormal="100" workbookViewId="0">
      <selection activeCell="L44" sqref="L44"/>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07F54-1E5E-41CC-95DD-1B6A6CD2C79B}">
  <dimension ref="A3:F48"/>
  <sheetViews>
    <sheetView topLeftCell="K1" zoomScale="85" zoomScaleNormal="85" workbookViewId="0">
      <selection activeCell="S35" sqref="S35"/>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6220</v>
      </c>
      <c r="C3" s="6" t="s">
        <v>6196</v>
      </c>
    </row>
    <row r="4" spans="1:6" x14ac:dyDescent="0.25">
      <c r="A4" s="6" t="s">
        <v>6214</v>
      </c>
      <c r="B4" s="6" t="s">
        <v>6215</v>
      </c>
      <c r="C4" t="s">
        <v>6216</v>
      </c>
      <c r="D4" t="s">
        <v>6217</v>
      </c>
      <c r="E4" t="s">
        <v>6218</v>
      </c>
      <c r="F4" t="s">
        <v>6219</v>
      </c>
    </row>
    <row r="5" spans="1:6" x14ac:dyDescent="0.25">
      <c r="A5" t="s">
        <v>6198</v>
      </c>
      <c r="B5" t="s">
        <v>6202</v>
      </c>
      <c r="C5" s="7">
        <v>77.699999999999989</v>
      </c>
      <c r="D5" s="7">
        <v>124.74000000000001</v>
      </c>
      <c r="E5" s="7">
        <v>145.82</v>
      </c>
      <c r="F5" s="7">
        <v>21.509999999999998</v>
      </c>
    </row>
    <row r="6" spans="1:6" x14ac:dyDescent="0.25">
      <c r="B6" t="s">
        <v>6203</v>
      </c>
      <c r="C6" s="7">
        <v>156.69499999999999</v>
      </c>
      <c r="D6" s="7">
        <v>8.91</v>
      </c>
      <c r="E6" s="7">
        <v>23.774999999999999</v>
      </c>
      <c r="F6" s="7">
        <v>71.699999999999989</v>
      </c>
    </row>
    <row r="7" spans="1:6" x14ac:dyDescent="0.25">
      <c r="B7" t="s">
        <v>6204</v>
      </c>
      <c r="C7" s="7">
        <v>59.569999999999993</v>
      </c>
      <c r="D7" s="7">
        <v>35.64</v>
      </c>
      <c r="E7" s="7">
        <v>85.59</v>
      </c>
      <c r="F7" s="7">
        <v>92.014999999999986</v>
      </c>
    </row>
    <row r="8" spans="1:6" x14ac:dyDescent="0.25">
      <c r="B8" t="s">
        <v>6205</v>
      </c>
      <c r="C8" s="7">
        <v>111.36999999999999</v>
      </c>
      <c r="D8" s="7">
        <v>571.72499999999991</v>
      </c>
      <c r="E8" s="7">
        <v>274.20499999999998</v>
      </c>
      <c r="F8" s="7">
        <v>90.82</v>
      </c>
    </row>
    <row r="9" spans="1:6" x14ac:dyDescent="0.25">
      <c r="B9" t="s">
        <v>6206</v>
      </c>
      <c r="C9" s="7">
        <v>29.784999999999997</v>
      </c>
      <c r="D9" s="7">
        <v>75.734999999999999</v>
      </c>
      <c r="E9" s="7">
        <v>145.82</v>
      </c>
      <c r="F9" s="7"/>
    </row>
    <row r="10" spans="1:6" x14ac:dyDescent="0.25">
      <c r="B10" t="s">
        <v>6207</v>
      </c>
      <c r="C10" s="7">
        <v>7.77</v>
      </c>
      <c r="D10" s="7">
        <v>341.54999999999995</v>
      </c>
      <c r="E10" s="7">
        <v>38.04</v>
      </c>
      <c r="F10" s="7">
        <v>155.34999999999997</v>
      </c>
    </row>
    <row r="11" spans="1:6" x14ac:dyDescent="0.25">
      <c r="B11" t="s">
        <v>6208</v>
      </c>
      <c r="C11" s="7">
        <v>132.08999999999997</v>
      </c>
      <c r="D11" s="7">
        <v>204.92999999999995</v>
      </c>
      <c r="E11" s="7">
        <v>171.18</v>
      </c>
      <c r="F11" s="7"/>
    </row>
    <row r="12" spans="1:6" x14ac:dyDescent="0.25">
      <c r="B12" t="s">
        <v>6209</v>
      </c>
      <c r="C12" s="7">
        <v>221.44499999999999</v>
      </c>
      <c r="D12" s="7">
        <v>29.7</v>
      </c>
      <c r="E12" s="7">
        <v>15.85</v>
      </c>
      <c r="F12" s="7">
        <v>43.019999999999996</v>
      </c>
    </row>
    <row r="13" spans="1:6" x14ac:dyDescent="0.25">
      <c r="B13" t="s">
        <v>6210</v>
      </c>
      <c r="C13" s="7">
        <v>178.70999999999998</v>
      </c>
      <c r="D13" s="7">
        <v>89.1</v>
      </c>
      <c r="E13" s="7">
        <v>171.18</v>
      </c>
      <c r="F13" s="7">
        <v>54.969999999999992</v>
      </c>
    </row>
    <row r="14" spans="1:6" x14ac:dyDescent="0.25">
      <c r="B14" t="s">
        <v>6211</v>
      </c>
      <c r="C14" s="7">
        <v>103.6</v>
      </c>
      <c r="D14" s="7">
        <v>103.94999999999999</v>
      </c>
      <c r="E14" s="7">
        <v>109.36499999999999</v>
      </c>
      <c r="F14" s="7">
        <v>164.91</v>
      </c>
    </row>
    <row r="15" spans="1:6" x14ac:dyDescent="0.25">
      <c r="B15" t="s">
        <v>6212</v>
      </c>
      <c r="C15" s="7">
        <v>178.70999999999998</v>
      </c>
      <c r="D15" s="7"/>
      <c r="E15" s="7">
        <v>187.02999999999997</v>
      </c>
      <c r="F15" s="7">
        <v>7.169999999999999</v>
      </c>
    </row>
    <row r="16" spans="1:6" x14ac:dyDescent="0.25">
      <c r="B16" t="s">
        <v>6213</v>
      </c>
      <c r="C16" s="7">
        <v>3.8849999999999998</v>
      </c>
      <c r="D16" s="7">
        <v>518.26499999999987</v>
      </c>
      <c r="E16" s="7"/>
      <c r="F16" s="7">
        <v>190.00499999999997</v>
      </c>
    </row>
    <row r="17" spans="1:6" x14ac:dyDescent="0.25">
      <c r="A17" t="s">
        <v>6199</v>
      </c>
      <c r="B17" t="s">
        <v>6202</v>
      </c>
      <c r="C17" s="7"/>
      <c r="D17" s="7"/>
      <c r="E17" s="7">
        <v>104.61</v>
      </c>
      <c r="F17" s="7">
        <v>150.57</v>
      </c>
    </row>
    <row r="18" spans="1:6" x14ac:dyDescent="0.25">
      <c r="B18" t="s">
        <v>6203</v>
      </c>
      <c r="C18" s="7">
        <v>134.67999999999998</v>
      </c>
      <c r="D18" s="7">
        <v>108.405</v>
      </c>
      <c r="E18" s="7">
        <v>47.55</v>
      </c>
      <c r="F18" s="7">
        <v>371.64499999999992</v>
      </c>
    </row>
    <row r="19" spans="1:6" x14ac:dyDescent="0.25">
      <c r="B19" t="s">
        <v>6204</v>
      </c>
      <c r="C19" s="7">
        <v>46.62</v>
      </c>
      <c r="D19" s="7">
        <v>83.16</v>
      </c>
      <c r="E19" s="7">
        <v>63.4</v>
      </c>
      <c r="F19" s="7"/>
    </row>
    <row r="20" spans="1:6" x14ac:dyDescent="0.25">
      <c r="B20" t="s">
        <v>6205</v>
      </c>
      <c r="C20" s="7"/>
      <c r="D20" s="7">
        <v>53.46</v>
      </c>
      <c r="E20" s="7">
        <v>23.774999999999999</v>
      </c>
      <c r="F20" s="7"/>
    </row>
    <row r="21" spans="1:6" x14ac:dyDescent="0.25">
      <c r="B21" t="s">
        <v>6206</v>
      </c>
      <c r="C21" s="7">
        <v>67.34</v>
      </c>
      <c r="D21" s="7">
        <v>44.55</v>
      </c>
      <c r="E21" s="7">
        <v>23.774999999999999</v>
      </c>
      <c r="F21" s="7"/>
    </row>
    <row r="22" spans="1:6" x14ac:dyDescent="0.25">
      <c r="B22" t="s">
        <v>6207</v>
      </c>
      <c r="C22" s="7">
        <v>226.62499999999997</v>
      </c>
      <c r="D22" s="7">
        <v>175.22999999999996</v>
      </c>
      <c r="E22" s="7">
        <v>158.5</v>
      </c>
      <c r="F22" s="7">
        <v>109.93999999999998</v>
      </c>
    </row>
    <row r="23" spans="1:6" x14ac:dyDescent="0.25">
      <c r="B23" t="s">
        <v>6208</v>
      </c>
      <c r="C23" s="7">
        <v>321.15999999999997</v>
      </c>
      <c r="D23" s="7">
        <v>44.55</v>
      </c>
      <c r="E23" s="7">
        <v>131.55500000000001</v>
      </c>
      <c r="F23" s="7">
        <v>143.39999999999998</v>
      </c>
    </row>
    <row r="24" spans="1:6" x14ac:dyDescent="0.25">
      <c r="B24" t="s">
        <v>6209</v>
      </c>
      <c r="C24" s="7"/>
      <c r="D24" s="7">
        <v>35.64</v>
      </c>
      <c r="E24" s="7">
        <v>47.55</v>
      </c>
      <c r="F24" s="7">
        <v>35.849999999999994</v>
      </c>
    </row>
    <row r="25" spans="1:6" x14ac:dyDescent="0.25">
      <c r="B25" t="s">
        <v>6210</v>
      </c>
      <c r="C25" s="7"/>
      <c r="D25" s="7">
        <v>53.46</v>
      </c>
      <c r="E25" s="7">
        <v>9.51</v>
      </c>
      <c r="F25" s="7">
        <v>215.09999999999997</v>
      </c>
    </row>
    <row r="26" spans="1:6" x14ac:dyDescent="0.25">
      <c r="B26" t="s">
        <v>6211</v>
      </c>
      <c r="C26" s="7"/>
      <c r="D26" s="7">
        <v>247.99499999999998</v>
      </c>
      <c r="E26" s="7">
        <v>117.28999999999999</v>
      </c>
      <c r="F26" s="7">
        <v>174.46999999999997</v>
      </c>
    </row>
    <row r="27" spans="1:6" x14ac:dyDescent="0.25">
      <c r="B27" t="s">
        <v>6212</v>
      </c>
      <c r="C27" s="7">
        <v>187.77499999999998</v>
      </c>
      <c r="D27" s="7">
        <v>8.91</v>
      </c>
      <c r="E27" s="7">
        <v>188.61500000000001</v>
      </c>
      <c r="F27" s="7">
        <v>27.484999999999996</v>
      </c>
    </row>
    <row r="28" spans="1:6" x14ac:dyDescent="0.25">
      <c r="B28" t="s">
        <v>6213</v>
      </c>
      <c r="C28" s="7">
        <v>25.9</v>
      </c>
      <c r="D28" s="7">
        <v>213.83999999999997</v>
      </c>
      <c r="E28" s="7">
        <v>47.55</v>
      </c>
      <c r="F28" s="7"/>
    </row>
    <row r="29" spans="1:6" x14ac:dyDescent="0.25">
      <c r="A29" t="s">
        <v>6200</v>
      </c>
      <c r="B29" t="s">
        <v>6202</v>
      </c>
      <c r="C29" s="7">
        <v>23.31</v>
      </c>
      <c r="D29" s="7">
        <v>59.4</v>
      </c>
      <c r="E29" s="7">
        <v>128.38499999999999</v>
      </c>
      <c r="F29" s="7">
        <v>3.5849999999999995</v>
      </c>
    </row>
    <row r="30" spans="1:6" x14ac:dyDescent="0.25">
      <c r="B30" t="s">
        <v>6203</v>
      </c>
      <c r="C30" s="7">
        <v>85.47</v>
      </c>
      <c r="D30" s="7">
        <v>40.094999999999999</v>
      </c>
      <c r="E30" s="7">
        <v>101.44</v>
      </c>
      <c r="F30" s="7"/>
    </row>
    <row r="31" spans="1:6" x14ac:dyDescent="0.25">
      <c r="B31" t="s">
        <v>6204</v>
      </c>
      <c r="C31" s="7">
        <v>291.375</v>
      </c>
      <c r="D31" s="7">
        <v>157.40999999999997</v>
      </c>
      <c r="E31" s="7">
        <v>109.36499999999999</v>
      </c>
      <c r="F31" s="7">
        <v>82.454999999999984</v>
      </c>
    </row>
    <row r="32" spans="1:6" x14ac:dyDescent="0.25">
      <c r="B32" t="s">
        <v>6205</v>
      </c>
      <c r="C32" s="7">
        <v>15.54</v>
      </c>
      <c r="D32" s="7">
        <v>8.91</v>
      </c>
      <c r="E32" s="7">
        <v>467.57499999999999</v>
      </c>
      <c r="F32" s="7">
        <v>23.9</v>
      </c>
    </row>
    <row r="33" spans="1:6" x14ac:dyDescent="0.25">
      <c r="B33" t="s">
        <v>6206</v>
      </c>
      <c r="C33" s="7">
        <v>23.31</v>
      </c>
      <c r="D33" s="7">
        <v>53.46</v>
      </c>
      <c r="E33" s="7">
        <v>101.44</v>
      </c>
      <c r="F33" s="7">
        <v>221.07499999999996</v>
      </c>
    </row>
    <row r="34" spans="1:6" x14ac:dyDescent="0.25">
      <c r="B34" t="s">
        <v>6207</v>
      </c>
      <c r="C34" s="7">
        <v>113.96</v>
      </c>
      <c r="D34" s="7">
        <v>22.274999999999999</v>
      </c>
      <c r="E34" s="7"/>
      <c r="F34" s="7">
        <v>17.924999999999997</v>
      </c>
    </row>
    <row r="35" spans="1:6" x14ac:dyDescent="0.25">
      <c r="B35" t="s">
        <v>6208</v>
      </c>
      <c r="C35" s="7">
        <v>31.08</v>
      </c>
      <c r="D35" s="7">
        <v>49.005000000000003</v>
      </c>
      <c r="E35" s="7">
        <v>52.305</v>
      </c>
      <c r="F35" s="7">
        <v>145.78999999999996</v>
      </c>
    </row>
    <row r="36" spans="1:6" x14ac:dyDescent="0.25">
      <c r="B36" t="s">
        <v>6209</v>
      </c>
      <c r="C36" s="7">
        <v>89.35499999999999</v>
      </c>
      <c r="D36" s="7">
        <v>26.73</v>
      </c>
      <c r="E36" s="7">
        <v>28.53</v>
      </c>
      <c r="F36" s="7">
        <v>114.71999999999998</v>
      </c>
    </row>
    <row r="37" spans="1:6" x14ac:dyDescent="0.25">
      <c r="B37" t="s">
        <v>6210</v>
      </c>
      <c r="C37" s="7">
        <v>287.48999999999995</v>
      </c>
      <c r="D37" s="7">
        <v>163.35</v>
      </c>
      <c r="E37" s="7"/>
      <c r="F37" s="7">
        <v>181.63999999999996</v>
      </c>
    </row>
    <row r="38" spans="1:6" x14ac:dyDescent="0.25">
      <c r="B38" t="s">
        <v>6211</v>
      </c>
      <c r="C38" s="7">
        <v>3.8849999999999998</v>
      </c>
      <c r="D38" s="7">
        <v>68.309999999999988</v>
      </c>
      <c r="E38" s="7">
        <v>129.97</v>
      </c>
      <c r="F38" s="7">
        <v>88.429999999999993</v>
      </c>
    </row>
    <row r="39" spans="1:6" x14ac:dyDescent="0.25">
      <c r="B39" t="s">
        <v>6212</v>
      </c>
      <c r="C39" s="7">
        <v>89.35499999999999</v>
      </c>
      <c r="D39" s="7">
        <v>163.35</v>
      </c>
      <c r="E39" s="7">
        <v>88.76</v>
      </c>
      <c r="F39" s="7">
        <v>35.849999999999994</v>
      </c>
    </row>
    <row r="40" spans="1:6" x14ac:dyDescent="0.25">
      <c r="B40" t="s">
        <v>6213</v>
      </c>
      <c r="C40" s="7">
        <v>334.10999999999996</v>
      </c>
      <c r="D40" s="7"/>
      <c r="E40" s="7">
        <v>155.32999999999998</v>
      </c>
      <c r="F40" s="7">
        <v>185.22499999999997</v>
      </c>
    </row>
    <row r="41" spans="1:6" x14ac:dyDescent="0.25">
      <c r="A41" t="s">
        <v>6201</v>
      </c>
      <c r="B41" t="s">
        <v>6202</v>
      </c>
      <c r="C41" s="7">
        <v>27.195</v>
      </c>
      <c r="D41" s="7">
        <v>86.13</v>
      </c>
      <c r="E41" s="7">
        <v>320.17</v>
      </c>
      <c r="F41" s="7">
        <v>56.164999999999999</v>
      </c>
    </row>
    <row r="42" spans="1:6" x14ac:dyDescent="0.25">
      <c r="B42" t="s">
        <v>6203</v>
      </c>
      <c r="C42" s="7">
        <v>49.209999999999994</v>
      </c>
      <c r="D42" s="7"/>
      <c r="E42" s="7">
        <v>64.984999999999999</v>
      </c>
      <c r="F42" s="7">
        <v>35.849999999999994</v>
      </c>
    </row>
    <row r="43" spans="1:6" x14ac:dyDescent="0.25">
      <c r="B43" t="s">
        <v>6204</v>
      </c>
      <c r="C43" s="7">
        <v>211.08499999999998</v>
      </c>
      <c r="D43" s="7">
        <v>147.01499999999999</v>
      </c>
      <c r="E43" s="7">
        <v>139.47999999999999</v>
      </c>
      <c r="F43" s="7">
        <v>252.14499999999998</v>
      </c>
    </row>
    <row r="44" spans="1:6" x14ac:dyDescent="0.25">
      <c r="B44" t="s">
        <v>6205</v>
      </c>
      <c r="C44" s="7">
        <v>62.16</v>
      </c>
      <c r="D44" s="7">
        <v>207.89999999999998</v>
      </c>
      <c r="E44" s="7">
        <v>38.04</v>
      </c>
      <c r="F44" s="7">
        <v>28.679999999999996</v>
      </c>
    </row>
    <row r="45" spans="1:6" x14ac:dyDescent="0.25">
      <c r="B45" t="s">
        <v>6206</v>
      </c>
      <c r="C45" s="7">
        <v>46.62</v>
      </c>
      <c r="D45" s="7">
        <v>78.704999999999998</v>
      </c>
      <c r="E45" s="7">
        <v>84.004999999999995</v>
      </c>
      <c r="F45" s="7">
        <v>109.94</v>
      </c>
    </row>
    <row r="46" spans="1:6" x14ac:dyDescent="0.25">
      <c r="B46" t="s">
        <v>6207</v>
      </c>
      <c r="C46" s="7">
        <v>46.62</v>
      </c>
      <c r="D46" s="7">
        <v>231.65999999999994</v>
      </c>
      <c r="E46" s="7">
        <v>145.82</v>
      </c>
      <c r="F46" s="7">
        <v>7.169999999999999</v>
      </c>
    </row>
    <row r="47" spans="1:6" x14ac:dyDescent="0.25">
      <c r="B47" t="s">
        <v>6208</v>
      </c>
      <c r="C47" s="7">
        <v>60.864999999999995</v>
      </c>
      <c r="D47" s="7">
        <v>59.4</v>
      </c>
      <c r="E47" s="7">
        <v>79.25</v>
      </c>
      <c r="F47" s="7">
        <v>14.339999999999998</v>
      </c>
    </row>
    <row r="48" spans="1:6" x14ac:dyDescent="0.25">
      <c r="B48" t="s">
        <v>6209</v>
      </c>
      <c r="C48" s="7">
        <v>68.634999999999991</v>
      </c>
      <c r="D48" s="7"/>
      <c r="E48" s="7"/>
      <c r="F48" s="7">
        <v>34.655000000000001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25929-4D5E-4342-875C-E91869C96EED}">
  <dimension ref="A3:B6"/>
  <sheetViews>
    <sheetView workbookViewId="0">
      <selection activeCell="V20" sqref="V20"/>
    </sheetView>
  </sheetViews>
  <sheetFormatPr defaultRowHeight="15" x14ac:dyDescent="0.25"/>
  <cols>
    <col min="1" max="1" width="15.42578125" bestFit="1" customWidth="1"/>
    <col min="2" max="2" width="12.140625" bestFit="1" customWidth="1"/>
    <col min="3" max="3" width="20" bestFit="1" customWidth="1"/>
    <col min="4" max="4" width="7.42578125" bestFit="1" customWidth="1"/>
    <col min="5" max="5" width="7.85546875" bestFit="1" customWidth="1"/>
    <col min="6" max="6" width="8.140625" bestFit="1" customWidth="1"/>
  </cols>
  <sheetData>
    <row r="3" spans="1:2" x14ac:dyDescent="0.25">
      <c r="A3" s="6" t="s">
        <v>7</v>
      </c>
      <c r="B3" t="s">
        <v>6220</v>
      </c>
    </row>
    <row r="4" spans="1:2" x14ac:dyDescent="0.25">
      <c r="A4" t="s">
        <v>28</v>
      </c>
      <c r="B4" s="5">
        <v>943.39499999999975</v>
      </c>
    </row>
    <row r="5" spans="1:2" x14ac:dyDescent="0.25">
      <c r="A5" t="s">
        <v>318</v>
      </c>
      <c r="B5" s="5">
        <v>2605.3299999999995</v>
      </c>
    </row>
    <row r="6" spans="1:2" x14ac:dyDescent="0.25">
      <c r="A6" t="s">
        <v>19</v>
      </c>
      <c r="B6" s="5">
        <v>13805.739999999994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1F17D-967D-4C88-B567-C8F0028D800A}">
  <dimension ref="A3:B12"/>
  <sheetViews>
    <sheetView workbookViewId="0">
      <selection activeCell="N7" sqref="N7"/>
    </sheetView>
  </sheetViews>
  <sheetFormatPr defaultRowHeight="15" x14ac:dyDescent="0.25"/>
  <cols>
    <col min="1" max="1" width="17.7109375" bestFit="1" customWidth="1"/>
    <col min="2" max="2" width="12.140625" bestFit="1" customWidth="1"/>
    <col min="3" max="3" width="20" bestFit="1" customWidth="1"/>
    <col min="4" max="4" width="7.42578125" bestFit="1" customWidth="1"/>
    <col min="5" max="5" width="7.85546875" bestFit="1" customWidth="1"/>
    <col min="6" max="6" width="8.140625" bestFit="1" customWidth="1"/>
  </cols>
  <sheetData>
    <row r="3" spans="1:2" x14ac:dyDescent="0.25">
      <c r="A3" s="6" t="s">
        <v>4</v>
      </c>
      <c r="B3" t="s">
        <v>6220</v>
      </c>
    </row>
    <row r="4" spans="1:2" x14ac:dyDescent="0.25">
      <c r="A4" t="s">
        <v>1472</v>
      </c>
      <c r="B4" s="5">
        <v>204.92999999999995</v>
      </c>
    </row>
    <row r="5" spans="1:2" x14ac:dyDescent="0.25">
      <c r="A5" t="s">
        <v>2046</v>
      </c>
      <c r="B5" s="5">
        <v>204.92999999999995</v>
      </c>
    </row>
    <row r="6" spans="1:2" x14ac:dyDescent="0.25">
      <c r="A6" t="s">
        <v>2454</v>
      </c>
      <c r="B6" s="5">
        <v>204.92999999999995</v>
      </c>
    </row>
    <row r="7" spans="1:2" x14ac:dyDescent="0.25">
      <c r="A7" t="s">
        <v>2177</v>
      </c>
      <c r="B7" s="5">
        <v>204.92999999999995</v>
      </c>
    </row>
    <row r="8" spans="1:2" x14ac:dyDescent="0.25">
      <c r="A8" t="s">
        <v>3820</v>
      </c>
      <c r="B8" s="5">
        <v>204.92999999999995</v>
      </c>
    </row>
    <row r="9" spans="1:2" x14ac:dyDescent="0.25">
      <c r="A9" t="s">
        <v>2275</v>
      </c>
      <c r="B9" s="5">
        <v>204.92999999999995</v>
      </c>
    </row>
    <row r="10" spans="1:2" x14ac:dyDescent="0.25">
      <c r="A10" t="s">
        <v>5114</v>
      </c>
      <c r="B10" s="5">
        <v>216.67499999999998</v>
      </c>
    </row>
    <row r="11" spans="1:2" x14ac:dyDescent="0.25">
      <c r="A11" t="s">
        <v>1386</v>
      </c>
      <c r="B11" s="5">
        <v>218.73</v>
      </c>
    </row>
    <row r="12" spans="1:2" x14ac:dyDescent="0.25">
      <c r="A12" t="s">
        <v>5765</v>
      </c>
      <c r="B12" s="5">
        <v>252.24999999999994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1" zoomScale="115" zoomScaleNormal="115" workbookViewId="0">
      <selection activeCell="K2" sqref="K2"/>
    </sheetView>
  </sheetViews>
  <sheetFormatPr defaultRowHeight="15" x14ac:dyDescent="0.25"/>
  <cols>
    <col min="1" max="1" width="19.7109375" customWidth="1"/>
    <col min="2" max="2" width="14.7109375" customWidth="1"/>
    <col min="3" max="3" width="17.42578125" bestFit="1" customWidth="1"/>
    <col min="4" max="4" width="12" customWidth="1"/>
    <col min="5" max="5" width="10.42578125" customWidth="1"/>
    <col min="6" max="6" width="23.85546875" customWidth="1"/>
    <col min="7" max="7" width="29" customWidth="1"/>
    <col min="8" max="8" width="18.42578125" customWidth="1"/>
    <col min="9" max="9" width="13.140625" customWidth="1"/>
    <col min="10" max="10" width="12.42578125" customWidth="1"/>
    <col min="11" max="11" width="6.28515625" bestFit="1" customWidth="1"/>
    <col min="12" max="12" width="11.28515625" customWidth="1"/>
    <col min="13" max="13" width="16.5703125" customWidth="1"/>
    <col min="14" max="14" width="18.85546875" customWidth="1"/>
    <col min="15" max="15" width="18.140625" customWidth="1"/>
    <col min="16" max="16" width="13.42578125"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 MATCH(orders!$D2, products!$A$1:$A$49, 0), MATCH(orders!I$1, products!$A$1:$G$1, 0))</f>
        <v>Rob</v>
      </c>
      <c r="J2" t="str">
        <f>INDEX(products!$A$1:$G$49, MATCH(orders!$D2, products!$A$1:$A$49, 0), MATCH(orders!J$1, products!$A$1:$G$1, 0))</f>
        <v>M</v>
      </c>
      <c r="K2" s="4">
        <f>INDEX(products!$A$1:$G$49, MATCH(orders!$D2, products!$A$1:$A$49, 0), MATCH(orders!K$1, products!$A$1:$G$1, 0))</f>
        <v>1</v>
      </c>
      <c r="L2" s="5">
        <f>INDEX(products!$A$1:$G$49, MATCH(orders!$D2, products!$A$1:$A$49, 0), MATCH(orders!L$1, products!$A$1:$G$1, 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 MATCH(orders!$D3, products!$A$1:$A$49, 0), MATCH(orders!I$1, products!$A$1:$G$1, 0))</f>
        <v>Exc</v>
      </c>
      <c r="J3" t="str">
        <f>INDEX(products!$A$1:$G$49, MATCH(orders!$D3, products!$A$1:$A$49, 0), MATCH(orders!J$1, products!$A$1:$G$1, 0))</f>
        <v>M</v>
      </c>
      <c r="K3" s="4">
        <f>INDEX(products!$A$1:$G$49, MATCH(orders!$D3, products!$A$1:$A$49, 0), MATCH(orders!K$1, products!$A$1:$G$1, 0))</f>
        <v>0.5</v>
      </c>
      <c r="L3" s="5">
        <f>INDEX(products!$A$1:$G$49, MATCH(orders!$D3, products!$A$1:$A$49, 0), MATCH(orders!L$1, products!$A$1:$G$1, 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 MATCH(orders!$D4, products!$A$1:$A$49, 0), MATCH(orders!I$1, products!$A$1:$G$1, 0))</f>
        <v>Ara</v>
      </c>
      <c r="J4" t="str">
        <f>INDEX(products!$A$1:$G$49, MATCH(orders!$D4, products!$A$1:$A$49, 0), MATCH(orders!J$1, products!$A$1:$G$1, 0))</f>
        <v>L</v>
      </c>
      <c r="K4" s="4">
        <f>INDEX(products!$A$1:$G$49, MATCH(orders!$D4, products!$A$1:$A$49, 0), MATCH(orders!K$1, products!$A$1:$G$1, 0))</f>
        <v>1</v>
      </c>
      <c r="L4" s="5">
        <f>INDEX(products!$A$1:$G$49, MATCH(orders!$D4, products!$A$1:$A$49, 0), MATCH(orders!L$1, products!$A$1:$G$1, 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 MATCH(orders!$D5, products!$A$1:$A$49, 0), MATCH(orders!I$1, products!$A$1:$G$1, 0))</f>
        <v>Exc</v>
      </c>
      <c r="J5" t="str">
        <f>INDEX(products!$A$1:$G$49, MATCH(orders!$D5, products!$A$1:$A$49, 0), MATCH(orders!J$1, products!$A$1:$G$1, 0))</f>
        <v>M</v>
      </c>
      <c r="K5" s="4">
        <f>INDEX(products!$A$1:$G$49, MATCH(orders!$D5, products!$A$1:$A$49, 0), MATCH(orders!K$1, products!$A$1:$G$1, 0))</f>
        <v>1</v>
      </c>
      <c r="L5" s="5">
        <f>INDEX(products!$A$1:$G$49, MATCH(orders!$D5, products!$A$1:$A$49, 0), MATCH(orders!L$1, products!$A$1:$G$1, 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 MATCH(orders!$D6, products!$A$1:$A$49, 0), MATCH(orders!I$1, products!$A$1:$G$1, 0))</f>
        <v>Rob</v>
      </c>
      <c r="J6" t="str">
        <f>INDEX(products!$A$1:$G$49, MATCH(orders!$D6, products!$A$1:$A$49, 0), MATCH(orders!J$1, products!$A$1:$G$1, 0))</f>
        <v>L</v>
      </c>
      <c r="K6" s="4">
        <f>INDEX(products!$A$1:$G$49, MATCH(orders!$D6, products!$A$1:$A$49, 0), MATCH(orders!K$1, products!$A$1:$G$1, 0))</f>
        <v>2.5</v>
      </c>
      <c r="L6" s="5">
        <f>INDEX(products!$A$1:$G$49, MATCH(orders!$D6, products!$A$1:$A$49, 0), MATCH(orders!L$1, products!$A$1:$G$1, 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 MATCH(orders!$D7, products!$A$1:$A$49, 0), MATCH(orders!I$1, products!$A$1:$G$1, 0))</f>
        <v>Lib</v>
      </c>
      <c r="J7" t="str">
        <f>INDEX(products!$A$1:$G$49, MATCH(orders!$D7, products!$A$1:$A$49, 0), MATCH(orders!J$1, products!$A$1:$G$1, 0))</f>
        <v>D</v>
      </c>
      <c r="K7" s="4">
        <f>INDEX(products!$A$1:$G$49, MATCH(orders!$D7, products!$A$1:$A$49, 0), MATCH(orders!K$1, products!$A$1:$G$1, 0))</f>
        <v>1</v>
      </c>
      <c r="L7" s="5">
        <f>INDEX(products!$A$1:$G$49, MATCH(orders!$D7, products!$A$1:$A$49, 0), MATCH(orders!L$1, products!$A$1:$G$1, 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 MATCH(orders!$D8, products!$A$1:$A$49, 0), MATCH(orders!I$1, products!$A$1:$G$1, 0))</f>
        <v>Exc</v>
      </c>
      <c r="J8" t="str">
        <f>INDEX(products!$A$1:$G$49, MATCH(orders!$D8, products!$A$1:$A$49, 0), MATCH(orders!J$1, products!$A$1:$G$1, 0))</f>
        <v>D</v>
      </c>
      <c r="K8" s="4">
        <f>INDEX(products!$A$1:$G$49, MATCH(orders!$D8, products!$A$1:$A$49, 0), MATCH(orders!K$1, products!$A$1:$G$1, 0))</f>
        <v>0.5</v>
      </c>
      <c r="L8" s="5">
        <f>INDEX(products!$A$1:$G$49, MATCH(orders!$D8, products!$A$1:$A$49, 0), MATCH(orders!L$1, products!$A$1:$G$1, 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 MATCH(orders!$D9, products!$A$1:$A$49, 0), MATCH(orders!I$1, products!$A$1:$G$1, 0))</f>
        <v>Lib</v>
      </c>
      <c r="J9" t="str">
        <f>INDEX(products!$A$1:$G$49, MATCH(orders!$D9, products!$A$1:$A$49, 0), MATCH(orders!J$1, products!$A$1:$G$1, 0))</f>
        <v>L</v>
      </c>
      <c r="K9" s="4">
        <f>INDEX(products!$A$1:$G$49, MATCH(orders!$D9, products!$A$1:$A$49, 0), MATCH(orders!K$1, products!$A$1:$G$1, 0))</f>
        <v>0.2</v>
      </c>
      <c r="L9" s="5">
        <f>INDEX(products!$A$1:$G$49, MATCH(orders!$D9, products!$A$1:$A$49, 0), MATCH(orders!L$1, products!$A$1:$G$1, 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 MATCH(orders!$D10, products!$A$1:$A$49, 0), MATCH(orders!I$1, products!$A$1:$G$1, 0))</f>
        <v>Rob</v>
      </c>
      <c r="J10" t="str">
        <f>INDEX(products!$A$1:$G$49, MATCH(orders!$D10, products!$A$1:$A$49, 0), MATCH(orders!J$1, products!$A$1:$G$1, 0))</f>
        <v>M</v>
      </c>
      <c r="K10" s="4">
        <f>INDEX(products!$A$1:$G$49, MATCH(orders!$D10, products!$A$1:$A$49, 0), MATCH(orders!K$1, products!$A$1:$G$1, 0))</f>
        <v>0.5</v>
      </c>
      <c r="L10" s="5">
        <f>INDEX(products!$A$1:$G$49, MATCH(orders!$D10, products!$A$1:$A$49, 0), MATCH(orders!L$1, products!$A$1:$G$1, 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 MATCH(orders!$D11, products!$A$1:$A$49, 0), MATCH(orders!I$1, products!$A$1:$G$1, 0))</f>
        <v>Rob</v>
      </c>
      <c r="J11" t="str">
        <f>INDEX(products!$A$1:$G$49, MATCH(orders!$D11, products!$A$1:$A$49, 0), MATCH(orders!J$1, products!$A$1:$G$1, 0))</f>
        <v>M</v>
      </c>
      <c r="K11" s="4">
        <f>INDEX(products!$A$1:$G$49, MATCH(orders!$D11, products!$A$1:$A$49, 0), MATCH(orders!K$1, products!$A$1:$G$1, 0))</f>
        <v>0.5</v>
      </c>
      <c r="L11" s="5">
        <f>INDEX(products!$A$1:$G$49, MATCH(orders!$D11, products!$A$1:$A$49, 0), MATCH(orders!L$1, products!$A$1:$G$1, 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 MATCH(orders!$D12, products!$A$1:$A$49, 0), MATCH(orders!I$1, products!$A$1:$G$1, 0))</f>
        <v>Ara</v>
      </c>
      <c r="J12" t="str">
        <f>INDEX(products!$A$1:$G$49, MATCH(orders!$D12, products!$A$1:$A$49, 0), MATCH(orders!J$1, products!$A$1:$G$1, 0))</f>
        <v>D</v>
      </c>
      <c r="K12" s="4">
        <f>INDEX(products!$A$1:$G$49, MATCH(orders!$D12, products!$A$1:$A$49, 0), MATCH(orders!K$1, products!$A$1:$G$1, 0))</f>
        <v>1</v>
      </c>
      <c r="L12" s="5">
        <f>INDEX(products!$A$1:$G$49, MATCH(orders!$D12, products!$A$1:$A$49, 0), MATCH(orders!L$1, products!$A$1:$G$1, 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 MATCH(orders!$D13, products!$A$1:$A$49, 0), MATCH(orders!I$1, products!$A$1:$G$1, 0))</f>
        <v>Exc</v>
      </c>
      <c r="J13" t="str">
        <f>INDEX(products!$A$1:$G$49, MATCH(orders!$D13, products!$A$1:$A$49, 0), MATCH(orders!J$1, products!$A$1:$G$1, 0))</f>
        <v>L</v>
      </c>
      <c r="K13" s="4">
        <f>INDEX(products!$A$1:$G$49, MATCH(orders!$D13, products!$A$1:$A$49, 0), MATCH(orders!K$1, products!$A$1:$G$1, 0))</f>
        <v>2.5</v>
      </c>
      <c r="L13" s="5">
        <f>INDEX(products!$A$1:$G$49, MATCH(orders!$D13, products!$A$1:$A$49, 0), MATCH(orders!L$1, products!$A$1:$G$1, 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 MATCH(orders!$D14, products!$A$1:$A$49, 0), MATCH(orders!I$1, products!$A$1:$G$1, 0))</f>
        <v>Rob</v>
      </c>
      <c r="J14" t="str">
        <f>INDEX(products!$A$1:$G$49, MATCH(orders!$D14, products!$A$1:$A$49, 0), MATCH(orders!J$1, products!$A$1:$G$1, 0))</f>
        <v>M</v>
      </c>
      <c r="K14" s="4">
        <f>INDEX(products!$A$1:$G$49, MATCH(orders!$D14, products!$A$1:$A$49, 0), MATCH(orders!K$1, products!$A$1:$G$1, 0))</f>
        <v>1</v>
      </c>
      <c r="L14" s="5">
        <f>INDEX(products!$A$1:$G$49, MATCH(orders!$D14, products!$A$1:$A$49, 0), MATCH(orders!L$1, products!$A$1:$G$1, 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 MATCH(orders!$D15, products!$A$1:$A$49, 0), MATCH(orders!I$1, products!$A$1:$G$1, 0))</f>
        <v>Rob</v>
      </c>
      <c r="J15" t="str">
        <f>INDEX(products!$A$1:$G$49, MATCH(orders!$D15, products!$A$1:$A$49, 0), MATCH(orders!J$1, products!$A$1:$G$1, 0))</f>
        <v>D</v>
      </c>
      <c r="K15" s="4">
        <f>INDEX(products!$A$1:$G$49, MATCH(orders!$D15, products!$A$1:$A$49, 0), MATCH(orders!K$1, products!$A$1:$G$1, 0))</f>
        <v>2.5</v>
      </c>
      <c r="L15" s="5">
        <f>INDEX(products!$A$1:$G$49, MATCH(orders!$D15, products!$A$1:$A$49, 0), MATCH(orders!L$1, products!$A$1:$G$1, 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 MATCH(orders!$D16, products!$A$1:$A$49, 0), MATCH(orders!I$1, products!$A$1:$G$1, 0))</f>
        <v>Lib</v>
      </c>
      <c r="J16" t="str">
        <f>INDEX(products!$A$1:$G$49, MATCH(orders!$D16, products!$A$1:$A$49, 0), MATCH(orders!J$1, products!$A$1:$G$1, 0))</f>
        <v>D</v>
      </c>
      <c r="K16" s="4">
        <f>INDEX(products!$A$1:$G$49, MATCH(orders!$D16, products!$A$1:$A$49, 0), MATCH(orders!K$1, products!$A$1:$G$1, 0))</f>
        <v>0.2</v>
      </c>
      <c r="L16" s="5">
        <f>INDEX(products!$A$1:$G$49, MATCH(orders!$D16, products!$A$1:$A$49, 0), MATCH(orders!L$1, products!$A$1:$G$1, 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 MATCH(orders!$D17, products!$A$1:$A$49, 0), MATCH(orders!I$1, products!$A$1:$G$1, 0))</f>
        <v>Rob</v>
      </c>
      <c r="J17" t="str">
        <f>INDEX(products!$A$1:$G$49, MATCH(orders!$D17, products!$A$1:$A$49, 0), MATCH(orders!J$1, products!$A$1:$G$1, 0))</f>
        <v>M</v>
      </c>
      <c r="K17" s="4">
        <f>INDEX(products!$A$1:$G$49, MATCH(orders!$D17, products!$A$1:$A$49, 0), MATCH(orders!K$1, products!$A$1:$G$1, 0))</f>
        <v>2.5</v>
      </c>
      <c r="L17" s="5">
        <f>INDEX(products!$A$1:$G$49, MATCH(orders!$D17, products!$A$1:$A$49, 0), MATCH(orders!L$1, products!$A$1:$G$1, 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 MATCH(orders!$D18, products!$A$1:$A$49, 0), MATCH(orders!I$1, products!$A$1:$G$1, 0))</f>
        <v>Ara</v>
      </c>
      <c r="J18" t="str">
        <f>INDEX(products!$A$1:$G$49, MATCH(orders!$D18, products!$A$1:$A$49, 0), MATCH(orders!J$1, products!$A$1:$G$1, 0))</f>
        <v>M</v>
      </c>
      <c r="K18" s="4">
        <f>INDEX(products!$A$1:$G$49, MATCH(orders!$D18, products!$A$1:$A$49, 0), MATCH(orders!K$1, products!$A$1:$G$1, 0))</f>
        <v>0.2</v>
      </c>
      <c r="L18" s="5">
        <f>INDEX(products!$A$1:$G$49, MATCH(orders!$D18, products!$A$1:$A$49, 0), MATCH(orders!L$1, products!$A$1:$G$1, 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 MATCH(orders!$D19, products!$A$1:$A$49, 0), MATCH(orders!I$1, products!$A$1:$G$1, 0))</f>
        <v>Ara</v>
      </c>
      <c r="J19" t="str">
        <f>INDEX(products!$A$1:$G$49, MATCH(orders!$D19, products!$A$1:$A$49, 0), MATCH(orders!J$1, products!$A$1:$G$1, 0))</f>
        <v>L</v>
      </c>
      <c r="K19" s="4">
        <f>INDEX(products!$A$1:$G$49, MATCH(orders!$D19, products!$A$1:$A$49, 0), MATCH(orders!K$1, products!$A$1:$G$1, 0))</f>
        <v>1</v>
      </c>
      <c r="L19" s="5">
        <f>INDEX(products!$A$1:$G$49, MATCH(orders!$D19, products!$A$1:$A$49, 0), MATCH(orders!L$1, products!$A$1:$G$1, 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 MATCH(orders!$D20, products!$A$1:$A$49, 0), MATCH(orders!I$1, products!$A$1:$G$1, 0))</f>
        <v>Rob</v>
      </c>
      <c r="J20" t="str">
        <f>INDEX(products!$A$1:$G$49, MATCH(orders!$D20, products!$A$1:$A$49, 0), MATCH(orders!J$1, products!$A$1:$G$1, 0))</f>
        <v>D</v>
      </c>
      <c r="K20" s="4">
        <f>INDEX(products!$A$1:$G$49, MATCH(orders!$D20, products!$A$1:$A$49, 0), MATCH(orders!K$1, products!$A$1:$G$1, 0))</f>
        <v>2.5</v>
      </c>
      <c r="L20" s="5">
        <f>INDEX(products!$A$1:$G$49, MATCH(orders!$D20, products!$A$1:$A$49, 0), MATCH(orders!L$1, products!$A$1:$G$1, 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 MATCH(orders!$D21, products!$A$1:$A$49, 0), MATCH(orders!I$1, products!$A$1:$G$1, 0))</f>
        <v>Ara</v>
      </c>
      <c r="J21" t="str">
        <f>INDEX(products!$A$1:$G$49, MATCH(orders!$D21, products!$A$1:$A$49, 0), MATCH(orders!J$1, products!$A$1:$G$1, 0))</f>
        <v>M</v>
      </c>
      <c r="K21" s="4">
        <f>INDEX(products!$A$1:$G$49, MATCH(orders!$D21, products!$A$1:$A$49, 0), MATCH(orders!K$1, products!$A$1:$G$1, 0))</f>
        <v>0.2</v>
      </c>
      <c r="L21" s="5">
        <f>INDEX(products!$A$1:$G$49, MATCH(orders!$D21, products!$A$1:$A$49, 0), MATCH(orders!L$1, products!$A$1:$G$1, 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 MATCH(orders!$D22, products!$A$1:$A$49, 0), MATCH(orders!I$1, products!$A$1:$G$1, 0))</f>
        <v>Exc</v>
      </c>
      <c r="J22" t="str">
        <f>INDEX(products!$A$1:$G$49, MATCH(orders!$D22, products!$A$1:$A$49, 0), MATCH(orders!J$1, products!$A$1:$G$1, 0))</f>
        <v>D</v>
      </c>
      <c r="K22" s="4">
        <f>INDEX(products!$A$1:$G$49, MATCH(orders!$D22, products!$A$1:$A$49, 0), MATCH(orders!K$1, products!$A$1:$G$1, 0))</f>
        <v>0.2</v>
      </c>
      <c r="L22" s="5">
        <f>INDEX(products!$A$1:$G$49, MATCH(orders!$D22, products!$A$1:$A$49, 0), MATCH(orders!L$1, products!$A$1:$G$1, 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 MATCH(orders!$D23, products!$A$1:$A$49, 0), MATCH(orders!I$1, products!$A$1:$G$1, 0))</f>
        <v>Ara</v>
      </c>
      <c r="J23" t="str">
        <f>INDEX(products!$A$1:$G$49, MATCH(orders!$D23, products!$A$1:$A$49, 0), MATCH(orders!J$1, products!$A$1:$G$1, 0))</f>
        <v>D</v>
      </c>
      <c r="K23" s="4">
        <f>INDEX(products!$A$1:$G$49, MATCH(orders!$D23, products!$A$1:$A$49, 0), MATCH(orders!K$1, products!$A$1:$G$1, 0))</f>
        <v>0.2</v>
      </c>
      <c r="L23" s="5">
        <f>INDEX(products!$A$1:$G$49, MATCH(orders!$D23, products!$A$1:$A$49, 0), MATCH(orders!L$1, products!$A$1:$G$1, 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 MATCH(orders!$D24, products!$A$1:$A$49, 0), MATCH(orders!I$1, products!$A$1:$G$1, 0))</f>
        <v>Rob</v>
      </c>
      <c r="J24" t="str">
        <f>INDEX(products!$A$1:$G$49, MATCH(orders!$D24, products!$A$1:$A$49, 0), MATCH(orders!J$1, products!$A$1:$G$1, 0))</f>
        <v>M</v>
      </c>
      <c r="K24" s="4">
        <f>INDEX(products!$A$1:$G$49, MATCH(orders!$D24, products!$A$1:$A$49, 0), MATCH(orders!K$1, products!$A$1:$G$1, 0))</f>
        <v>2.5</v>
      </c>
      <c r="L24" s="5">
        <f>INDEX(products!$A$1:$G$49, MATCH(orders!$D24, products!$A$1:$A$49, 0), MATCH(orders!L$1, products!$A$1:$G$1, 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 MATCH(orders!$D25, products!$A$1:$A$49, 0), MATCH(orders!I$1, products!$A$1:$G$1, 0))</f>
        <v>Ara</v>
      </c>
      <c r="J25" t="str">
        <f>INDEX(products!$A$1:$G$49, MATCH(orders!$D25, products!$A$1:$A$49, 0), MATCH(orders!J$1, products!$A$1:$G$1, 0))</f>
        <v>D</v>
      </c>
      <c r="K25" s="4">
        <f>INDEX(products!$A$1:$G$49, MATCH(orders!$D25, products!$A$1:$A$49, 0), MATCH(orders!K$1, products!$A$1:$G$1, 0))</f>
        <v>0.2</v>
      </c>
      <c r="L25" s="5">
        <f>INDEX(products!$A$1:$G$49, MATCH(orders!$D25, products!$A$1:$A$49, 0), MATCH(orders!L$1, products!$A$1:$G$1, 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 MATCH(orders!$D26, products!$A$1:$A$49, 0), MATCH(orders!I$1, products!$A$1:$G$1, 0))</f>
        <v>Ara</v>
      </c>
      <c r="J26" t="str">
        <f>INDEX(products!$A$1:$G$49, MATCH(orders!$D26, products!$A$1:$A$49, 0), MATCH(orders!J$1, products!$A$1:$G$1, 0))</f>
        <v>M</v>
      </c>
      <c r="K26" s="4">
        <f>INDEX(products!$A$1:$G$49, MATCH(orders!$D26, products!$A$1:$A$49, 0), MATCH(orders!K$1, products!$A$1:$G$1, 0))</f>
        <v>1</v>
      </c>
      <c r="L26" s="5">
        <f>INDEX(products!$A$1:$G$49, MATCH(orders!$D26, products!$A$1:$A$49, 0), MATCH(orders!L$1, products!$A$1:$G$1, 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 MATCH(orders!$D27, products!$A$1:$A$49, 0), MATCH(orders!I$1, products!$A$1:$G$1, 0))</f>
        <v>Exc</v>
      </c>
      <c r="J27" t="str">
        <f>INDEX(products!$A$1:$G$49, MATCH(orders!$D27, products!$A$1:$A$49, 0), MATCH(orders!J$1, products!$A$1:$G$1, 0))</f>
        <v>M</v>
      </c>
      <c r="K27" s="4">
        <f>INDEX(products!$A$1:$G$49, MATCH(orders!$D27, products!$A$1:$A$49, 0), MATCH(orders!K$1, products!$A$1:$G$1, 0))</f>
        <v>0.2</v>
      </c>
      <c r="L27" s="5">
        <f>INDEX(products!$A$1:$G$49, MATCH(orders!$D27, products!$A$1:$A$49, 0), MATCH(orders!L$1, products!$A$1:$G$1, 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 MATCH(orders!$D28, products!$A$1:$A$49, 0), MATCH(orders!I$1, products!$A$1:$G$1, 0))</f>
        <v>Ara</v>
      </c>
      <c r="J28" t="str">
        <f>INDEX(products!$A$1:$G$49, MATCH(orders!$D28, products!$A$1:$A$49, 0), MATCH(orders!J$1, products!$A$1:$G$1, 0))</f>
        <v>M</v>
      </c>
      <c r="K28" s="4">
        <f>INDEX(products!$A$1:$G$49, MATCH(orders!$D28, products!$A$1:$A$49, 0), MATCH(orders!K$1, products!$A$1:$G$1, 0))</f>
        <v>0.5</v>
      </c>
      <c r="L28" s="5">
        <f>INDEX(products!$A$1:$G$49, MATCH(orders!$D28, products!$A$1:$A$49, 0), MATCH(orders!L$1, products!$A$1:$G$1, 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 MATCH(orders!$D29, products!$A$1:$A$49, 0), MATCH(orders!I$1, products!$A$1:$G$1, 0))</f>
        <v>Ara</v>
      </c>
      <c r="J29" t="str">
        <f>INDEX(products!$A$1:$G$49, MATCH(orders!$D29, products!$A$1:$A$49, 0), MATCH(orders!J$1, products!$A$1:$G$1, 0))</f>
        <v>M</v>
      </c>
      <c r="K29" s="4">
        <f>INDEX(products!$A$1:$G$49, MATCH(orders!$D29, products!$A$1:$A$49, 0), MATCH(orders!K$1, products!$A$1:$G$1, 0))</f>
        <v>0.2</v>
      </c>
      <c r="L29" s="5">
        <f>INDEX(products!$A$1:$G$49, MATCH(orders!$D29, products!$A$1:$A$49, 0), MATCH(orders!L$1, products!$A$1:$G$1, 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 MATCH(orders!$D30, products!$A$1:$A$49, 0), MATCH(orders!I$1, products!$A$1:$G$1, 0))</f>
        <v>Ara</v>
      </c>
      <c r="J30" t="str">
        <f>INDEX(products!$A$1:$G$49, MATCH(orders!$D30, products!$A$1:$A$49, 0), MATCH(orders!J$1, products!$A$1:$G$1, 0))</f>
        <v>D</v>
      </c>
      <c r="K30" s="4">
        <f>INDEX(products!$A$1:$G$49, MATCH(orders!$D30, products!$A$1:$A$49, 0), MATCH(orders!K$1, products!$A$1:$G$1, 0))</f>
        <v>0.5</v>
      </c>
      <c r="L30" s="5">
        <f>INDEX(products!$A$1:$G$49, MATCH(orders!$D30, products!$A$1:$A$49, 0), MATCH(orders!L$1, products!$A$1:$G$1, 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 MATCH(orders!$D31, products!$A$1:$A$49, 0), MATCH(orders!I$1, products!$A$1:$G$1, 0))</f>
        <v>Ara</v>
      </c>
      <c r="J31" t="str">
        <f>INDEX(products!$A$1:$G$49, MATCH(orders!$D31, products!$A$1:$A$49, 0), MATCH(orders!J$1, products!$A$1:$G$1, 0))</f>
        <v>D</v>
      </c>
      <c r="K31" s="4">
        <f>INDEX(products!$A$1:$G$49, MATCH(orders!$D31, products!$A$1:$A$49, 0), MATCH(orders!K$1, products!$A$1:$G$1, 0))</f>
        <v>1</v>
      </c>
      <c r="L31" s="5">
        <f>INDEX(products!$A$1:$G$49, MATCH(orders!$D31, products!$A$1:$A$49, 0), MATCH(orders!L$1, products!$A$1:$G$1, 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 MATCH(orders!$D32, products!$A$1:$A$49, 0), MATCH(orders!I$1, products!$A$1:$G$1, 0))</f>
        <v>Lib</v>
      </c>
      <c r="J32" t="str">
        <f>INDEX(products!$A$1:$G$49, MATCH(orders!$D32, products!$A$1:$A$49, 0), MATCH(orders!J$1, products!$A$1:$G$1, 0))</f>
        <v>M</v>
      </c>
      <c r="K32" s="4">
        <f>INDEX(products!$A$1:$G$49, MATCH(orders!$D32, products!$A$1:$A$49, 0), MATCH(orders!K$1, products!$A$1:$G$1, 0))</f>
        <v>0.2</v>
      </c>
      <c r="L32" s="5">
        <f>INDEX(products!$A$1:$G$49, MATCH(orders!$D32, products!$A$1:$A$49, 0), MATCH(orders!L$1, products!$A$1:$G$1, 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 MATCH(orders!$D33, products!$A$1:$A$49, 0), MATCH(orders!I$1, products!$A$1:$G$1, 0))</f>
        <v>Ara</v>
      </c>
      <c r="J33" t="str">
        <f>INDEX(products!$A$1:$G$49, MATCH(orders!$D33, products!$A$1:$A$49, 0), MATCH(orders!J$1, products!$A$1:$G$1, 0))</f>
        <v>D</v>
      </c>
      <c r="K33" s="4">
        <f>INDEX(products!$A$1:$G$49, MATCH(orders!$D33, products!$A$1:$A$49, 0), MATCH(orders!K$1, products!$A$1:$G$1, 0))</f>
        <v>0.5</v>
      </c>
      <c r="L33" s="5">
        <f>INDEX(products!$A$1:$G$49, MATCH(orders!$D33, products!$A$1:$A$49, 0), MATCH(orders!L$1, products!$A$1:$G$1, 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 MATCH(orders!$D34, products!$A$1:$A$49, 0), MATCH(orders!I$1, products!$A$1:$G$1, 0))</f>
        <v>Lib</v>
      </c>
      <c r="J34" t="str">
        <f>INDEX(products!$A$1:$G$49, MATCH(orders!$D34, products!$A$1:$A$49, 0), MATCH(orders!J$1, products!$A$1:$G$1, 0))</f>
        <v>M</v>
      </c>
      <c r="K34" s="4">
        <f>INDEX(products!$A$1:$G$49, MATCH(orders!$D34, products!$A$1:$A$49, 0), MATCH(orders!K$1, products!$A$1:$G$1, 0))</f>
        <v>0.5</v>
      </c>
      <c r="L34" s="5">
        <f>INDEX(products!$A$1:$G$49, MATCH(orders!$D34, products!$A$1:$A$49, 0), MATCH(orders!L$1, products!$A$1:$G$1, 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 MATCH(orders!$D35, products!$A$1:$A$49, 0), MATCH(orders!I$1, products!$A$1:$G$1, 0))</f>
        <v>Lib</v>
      </c>
      <c r="J35" t="str">
        <f>INDEX(products!$A$1:$G$49, MATCH(orders!$D35, products!$A$1:$A$49, 0), MATCH(orders!J$1, products!$A$1:$G$1, 0))</f>
        <v>L</v>
      </c>
      <c r="K35" s="4">
        <f>INDEX(products!$A$1:$G$49, MATCH(orders!$D35, products!$A$1:$A$49, 0), MATCH(orders!K$1, products!$A$1:$G$1, 0))</f>
        <v>0.2</v>
      </c>
      <c r="L35" s="5">
        <f>INDEX(products!$A$1:$G$49, MATCH(orders!$D35, products!$A$1:$A$49, 0), MATCH(orders!L$1, products!$A$1:$G$1, 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 MATCH(orders!$D36, products!$A$1:$A$49, 0), MATCH(orders!I$1, products!$A$1:$G$1, 0))</f>
        <v>Lib</v>
      </c>
      <c r="J36" t="str">
        <f>INDEX(products!$A$1:$G$49, MATCH(orders!$D36, products!$A$1:$A$49, 0), MATCH(orders!J$1, products!$A$1:$G$1, 0))</f>
        <v>L</v>
      </c>
      <c r="K36" s="4">
        <f>INDEX(products!$A$1:$G$49, MATCH(orders!$D36, products!$A$1:$A$49, 0), MATCH(orders!K$1, products!$A$1:$G$1, 0))</f>
        <v>0.5</v>
      </c>
      <c r="L36" s="5">
        <f>INDEX(products!$A$1:$G$49, MATCH(orders!$D36, products!$A$1:$A$49, 0), MATCH(orders!L$1, products!$A$1:$G$1, 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 MATCH(orders!$D37, products!$A$1:$A$49, 0), MATCH(orders!I$1, products!$A$1:$G$1, 0))</f>
        <v>Ara</v>
      </c>
      <c r="J37" t="str">
        <f>INDEX(products!$A$1:$G$49, MATCH(orders!$D37, products!$A$1:$A$49, 0), MATCH(orders!J$1, products!$A$1:$G$1, 0))</f>
        <v>D</v>
      </c>
      <c r="K37" s="4">
        <f>INDEX(products!$A$1:$G$49, MATCH(orders!$D37, products!$A$1:$A$49, 0), MATCH(orders!K$1, products!$A$1:$G$1, 0))</f>
        <v>0.5</v>
      </c>
      <c r="L37" s="5">
        <f>INDEX(products!$A$1:$G$49, MATCH(orders!$D37, products!$A$1:$A$49, 0), MATCH(orders!L$1, products!$A$1:$G$1, 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 MATCH(orders!$D38, products!$A$1:$A$49, 0), MATCH(orders!I$1, products!$A$1:$G$1, 0))</f>
        <v>Lib</v>
      </c>
      <c r="J38" t="str">
        <f>INDEX(products!$A$1:$G$49, MATCH(orders!$D38, products!$A$1:$A$49, 0), MATCH(orders!J$1, products!$A$1:$G$1, 0))</f>
        <v>M</v>
      </c>
      <c r="K38" s="4">
        <f>INDEX(products!$A$1:$G$49, MATCH(orders!$D38, products!$A$1:$A$49, 0), MATCH(orders!K$1, products!$A$1:$G$1, 0))</f>
        <v>0.2</v>
      </c>
      <c r="L38" s="5">
        <f>INDEX(products!$A$1:$G$49, MATCH(orders!$D38, products!$A$1:$A$49, 0), MATCH(orders!L$1, products!$A$1:$G$1, 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 MATCH(orders!$D39, products!$A$1:$A$49, 0), MATCH(orders!I$1, products!$A$1:$G$1, 0))</f>
        <v>Lib</v>
      </c>
      <c r="J39" t="str">
        <f>INDEX(products!$A$1:$G$49, MATCH(orders!$D39, products!$A$1:$A$49, 0), MATCH(orders!J$1, products!$A$1:$G$1, 0))</f>
        <v>L</v>
      </c>
      <c r="K39" s="4">
        <f>INDEX(products!$A$1:$G$49, MATCH(orders!$D39, products!$A$1:$A$49, 0), MATCH(orders!K$1, products!$A$1:$G$1, 0))</f>
        <v>0.5</v>
      </c>
      <c r="L39" s="5">
        <f>INDEX(products!$A$1:$G$49, MATCH(orders!$D39, products!$A$1:$A$49, 0), MATCH(orders!L$1, products!$A$1:$G$1, 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 MATCH(orders!$D40, products!$A$1:$A$49, 0), MATCH(orders!I$1, products!$A$1:$G$1, 0))</f>
        <v>Rob</v>
      </c>
      <c r="J40" t="str">
        <f>INDEX(products!$A$1:$G$49, MATCH(orders!$D40, products!$A$1:$A$49, 0), MATCH(orders!J$1, products!$A$1:$G$1, 0))</f>
        <v>M</v>
      </c>
      <c r="K40" s="4">
        <f>INDEX(products!$A$1:$G$49, MATCH(orders!$D40, products!$A$1:$A$49, 0), MATCH(orders!K$1, products!$A$1:$G$1, 0))</f>
        <v>2.5</v>
      </c>
      <c r="L40" s="5">
        <f>INDEX(products!$A$1:$G$49, MATCH(orders!$D40, products!$A$1:$A$49, 0), MATCH(orders!L$1, products!$A$1:$G$1, 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 MATCH(orders!$D41, products!$A$1:$A$49, 0), MATCH(orders!I$1, products!$A$1:$G$1, 0))</f>
        <v>Rob</v>
      </c>
      <c r="J41" t="str">
        <f>INDEX(products!$A$1:$G$49, MATCH(orders!$D41, products!$A$1:$A$49, 0), MATCH(orders!J$1, products!$A$1:$G$1, 0))</f>
        <v>M</v>
      </c>
      <c r="K41" s="4">
        <f>INDEX(products!$A$1:$G$49, MATCH(orders!$D41, products!$A$1:$A$49, 0), MATCH(orders!K$1, products!$A$1:$G$1, 0))</f>
        <v>1</v>
      </c>
      <c r="L41" s="5">
        <f>INDEX(products!$A$1:$G$49, MATCH(orders!$D41, products!$A$1:$A$49, 0), MATCH(orders!L$1, products!$A$1:$G$1, 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 MATCH(orders!$D42, products!$A$1:$A$49, 0), MATCH(orders!I$1, products!$A$1:$G$1, 0))</f>
        <v>Lib</v>
      </c>
      <c r="J42" t="str">
        <f>INDEX(products!$A$1:$G$49, MATCH(orders!$D42, products!$A$1:$A$49, 0), MATCH(orders!J$1, products!$A$1:$G$1, 0))</f>
        <v>M</v>
      </c>
      <c r="K42" s="4">
        <f>INDEX(products!$A$1:$G$49, MATCH(orders!$D42, products!$A$1:$A$49, 0), MATCH(orders!K$1, products!$A$1:$G$1, 0))</f>
        <v>1</v>
      </c>
      <c r="L42" s="5">
        <f>INDEX(products!$A$1:$G$49, MATCH(orders!$D42, products!$A$1:$A$49, 0), MATCH(orders!L$1, products!$A$1:$G$1, 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 MATCH(orders!$D43, products!$A$1:$A$49, 0), MATCH(orders!I$1, products!$A$1:$G$1, 0))</f>
        <v>Exc</v>
      </c>
      <c r="J43" t="str">
        <f>INDEX(products!$A$1:$G$49, MATCH(orders!$D43, products!$A$1:$A$49, 0), MATCH(orders!J$1, products!$A$1:$G$1, 0))</f>
        <v>D</v>
      </c>
      <c r="K43" s="4">
        <f>INDEX(products!$A$1:$G$49, MATCH(orders!$D43, products!$A$1:$A$49, 0), MATCH(orders!K$1, products!$A$1:$G$1, 0))</f>
        <v>0.2</v>
      </c>
      <c r="L43" s="5">
        <f>INDEX(products!$A$1:$G$49, MATCH(orders!$D43, products!$A$1:$A$49, 0), MATCH(orders!L$1, products!$A$1:$G$1, 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 MATCH(orders!$D44, products!$A$1:$A$49, 0), MATCH(orders!I$1, products!$A$1:$G$1, 0))</f>
        <v>Rob</v>
      </c>
      <c r="J44" t="str">
        <f>INDEX(products!$A$1:$G$49, MATCH(orders!$D44, products!$A$1:$A$49, 0), MATCH(orders!J$1, products!$A$1:$G$1, 0))</f>
        <v>D</v>
      </c>
      <c r="K44" s="4">
        <f>INDEX(products!$A$1:$G$49, MATCH(orders!$D44, products!$A$1:$A$49, 0), MATCH(orders!K$1, products!$A$1:$G$1, 0))</f>
        <v>0.2</v>
      </c>
      <c r="L44" s="5">
        <f>INDEX(products!$A$1:$G$49, MATCH(orders!$D44, products!$A$1:$A$49, 0), MATCH(orders!L$1, products!$A$1:$G$1, 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 MATCH(orders!$D45, products!$A$1:$A$49, 0), MATCH(orders!I$1, products!$A$1:$G$1, 0))</f>
        <v>Lib</v>
      </c>
      <c r="J45" t="str">
        <f>INDEX(products!$A$1:$G$49, MATCH(orders!$D45, products!$A$1:$A$49, 0), MATCH(orders!J$1, products!$A$1:$G$1, 0))</f>
        <v>L</v>
      </c>
      <c r="K45" s="4">
        <f>INDEX(products!$A$1:$G$49, MATCH(orders!$D45, products!$A$1:$A$49, 0), MATCH(orders!K$1, products!$A$1:$G$1, 0))</f>
        <v>2.5</v>
      </c>
      <c r="L45" s="5">
        <f>INDEX(products!$A$1:$G$49, MATCH(orders!$D45, products!$A$1:$A$49, 0), MATCH(orders!L$1, products!$A$1:$G$1, 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 MATCH(orders!$D46, products!$A$1:$A$49, 0), MATCH(orders!I$1, products!$A$1:$G$1, 0))</f>
        <v>Exc</v>
      </c>
      <c r="J46" t="str">
        <f>INDEX(products!$A$1:$G$49, MATCH(orders!$D46, products!$A$1:$A$49, 0), MATCH(orders!J$1, products!$A$1:$G$1, 0))</f>
        <v>M</v>
      </c>
      <c r="K46" s="4">
        <f>INDEX(products!$A$1:$G$49, MATCH(orders!$D46, products!$A$1:$A$49, 0), MATCH(orders!K$1, products!$A$1:$G$1, 0))</f>
        <v>0.5</v>
      </c>
      <c r="L46" s="5">
        <f>INDEX(products!$A$1:$G$49, MATCH(orders!$D46, products!$A$1:$A$49, 0), MATCH(orders!L$1, products!$A$1:$G$1, 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 MATCH(orders!$D47, products!$A$1:$A$49, 0), MATCH(orders!I$1, products!$A$1:$G$1, 0))</f>
        <v>Lib</v>
      </c>
      <c r="J47" t="str">
        <f>INDEX(products!$A$1:$G$49, MATCH(orders!$D47, products!$A$1:$A$49, 0), MATCH(orders!J$1, products!$A$1:$G$1, 0))</f>
        <v>D</v>
      </c>
      <c r="K47" s="4">
        <f>INDEX(products!$A$1:$G$49, MATCH(orders!$D47, products!$A$1:$A$49, 0), MATCH(orders!K$1, products!$A$1:$G$1, 0))</f>
        <v>2.5</v>
      </c>
      <c r="L47" s="5">
        <f>INDEX(products!$A$1:$G$49, MATCH(orders!$D47, products!$A$1:$A$49, 0), MATCH(orders!L$1, products!$A$1:$G$1, 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 MATCH(orders!$D48, products!$A$1:$A$49, 0), MATCH(orders!I$1, products!$A$1:$G$1, 0))</f>
        <v>Exc</v>
      </c>
      <c r="J48" t="str">
        <f>INDEX(products!$A$1:$G$49, MATCH(orders!$D48, products!$A$1:$A$49, 0), MATCH(orders!J$1, products!$A$1:$G$1, 0))</f>
        <v>M</v>
      </c>
      <c r="K48" s="4">
        <f>INDEX(products!$A$1:$G$49, MATCH(orders!$D48, products!$A$1:$A$49, 0), MATCH(orders!K$1, products!$A$1:$G$1, 0))</f>
        <v>2.5</v>
      </c>
      <c r="L48" s="5">
        <f>INDEX(products!$A$1:$G$49, MATCH(orders!$D48, products!$A$1:$A$49, 0), MATCH(orders!L$1, products!$A$1:$G$1, 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 MATCH(orders!$D49, products!$A$1:$A$49, 0), MATCH(orders!I$1, products!$A$1:$G$1, 0))</f>
        <v>Ara</v>
      </c>
      <c r="J49" t="str">
        <f>INDEX(products!$A$1:$G$49, MATCH(orders!$D49, products!$A$1:$A$49, 0), MATCH(orders!J$1, products!$A$1:$G$1, 0))</f>
        <v>L</v>
      </c>
      <c r="K49" s="4">
        <f>INDEX(products!$A$1:$G$49, MATCH(orders!$D49, products!$A$1:$A$49, 0), MATCH(orders!K$1, products!$A$1:$G$1, 0))</f>
        <v>0.2</v>
      </c>
      <c r="L49" s="5">
        <f>INDEX(products!$A$1:$G$49, MATCH(orders!$D49, products!$A$1:$A$49, 0), MATCH(orders!L$1, products!$A$1:$G$1, 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 MATCH(orders!$D50, products!$A$1:$A$49, 0), MATCH(orders!I$1, products!$A$1:$G$1, 0))</f>
        <v>Ara</v>
      </c>
      <c r="J50" t="str">
        <f>INDEX(products!$A$1:$G$49, MATCH(orders!$D50, products!$A$1:$A$49, 0), MATCH(orders!J$1, products!$A$1:$G$1, 0))</f>
        <v>D</v>
      </c>
      <c r="K50" s="4">
        <f>INDEX(products!$A$1:$G$49, MATCH(orders!$D50, products!$A$1:$A$49, 0), MATCH(orders!K$1, products!$A$1:$G$1, 0))</f>
        <v>2.5</v>
      </c>
      <c r="L50" s="5">
        <f>INDEX(products!$A$1:$G$49, MATCH(orders!$D50, products!$A$1:$A$49, 0), MATCH(orders!L$1, products!$A$1:$G$1, 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 MATCH(orders!$D51, products!$A$1:$A$49, 0), MATCH(orders!I$1, products!$A$1:$G$1, 0))</f>
        <v>Ara</v>
      </c>
      <c r="J51" t="str">
        <f>INDEX(products!$A$1:$G$49, MATCH(orders!$D51, products!$A$1:$A$49, 0), MATCH(orders!J$1, products!$A$1:$G$1, 0))</f>
        <v>L</v>
      </c>
      <c r="K51" s="4">
        <f>INDEX(products!$A$1:$G$49, MATCH(orders!$D51, products!$A$1:$A$49, 0), MATCH(orders!K$1, products!$A$1:$G$1, 0))</f>
        <v>1</v>
      </c>
      <c r="L51" s="5">
        <f>INDEX(products!$A$1:$G$49, MATCH(orders!$D51, products!$A$1:$A$49, 0), MATCH(orders!L$1, products!$A$1:$G$1, 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 MATCH(orders!$D52, products!$A$1:$A$49, 0), MATCH(orders!I$1, products!$A$1:$G$1, 0))</f>
        <v>Lib</v>
      </c>
      <c r="J52" t="str">
        <f>INDEX(products!$A$1:$G$49, MATCH(orders!$D52, products!$A$1:$A$49, 0), MATCH(orders!J$1, products!$A$1:$G$1, 0))</f>
        <v>D</v>
      </c>
      <c r="K52" s="4">
        <f>INDEX(products!$A$1:$G$49, MATCH(orders!$D52, products!$A$1:$A$49, 0), MATCH(orders!K$1, products!$A$1:$G$1, 0))</f>
        <v>0.5</v>
      </c>
      <c r="L52" s="5">
        <f>INDEX(products!$A$1:$G$49, MATCH(orders!$D52, products!$A$1:$A$49, 0), MATCH(orders!L$1, products!$A$1:$G$1, 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 MATCH(orders!$D53, products!$A$1:$A$49, 0), MATCH(orders!I$1, products!$A$1:$G$1, 0))</f>
        <v>Lib</v>
      </c>
      <c r="J53" t="str">
        <f>INDEX(products!$A$1:$G$49, MATCH(orders!$D53, products!$A$1:$A$49, 0), MATCH(orders!J$1, products!$A$1:$G$1, 0))</f>
        <v>L</v>
      </c>
      <c r="K53" s="4">
        <f>INDEX(products!$A$1:$G$49, MATCH(orders!$D53, products!$A$1:$A$49, 0), MATCH(orders!K$1, products!$A$1:$G$1, 0))</f>
        <v>2.5</v>
      </c>
      <c r="L53" s="5">
        <f>INDEX(products!$A$1:$G$49, MATCH(orders!$D53, products!$A$1:$A$49, 0), MATCH(orders!L$1, products!$A$1:$G$1, 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 MATCH(orders!$D54, products!$A$1:$A$49, 0), MATCH(orders!I$1, products!$A$1:$G$1, 0))</f>
        <v>Rob</v>
      </c>
      <c r="J54" t="str">
        <f>INDEX(products!$A$1:$G$49, MATCH(orders!$D54, products!$A$1:$A$49, 0), MATCH(orders!J$1, products!$A$1:$G$1, 0))</f>
        <v>M</v>
      </c>
      <c r="K54" s="4">
        <f>INDEX(products!$A$1:$G$49, MATCH(orders!$D54, products!$A$1:$A$49, 0), MATCH(orders!K$1, products!$A$1:$G$1, 0))</f>
        <v>0.5</v>
      </c>
      <c r="L54" s="5">
        <f>INDEX(products!$A$1:$G$49, MATCH(orders!$D54, products!$A$1:$A$49, 0), MATCH(orders!L$1, products!$A$1:$G$1, 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 MATCH(orders!$D55, products!$A$1:$A$49, 0), MATCH(orders!I$1, products!$A$1:$G$1, 0))</f>
        <v>Lib</v>
      </c>
      <c r="J55" t="str">
        <f>INDEX(products!$A$1:$G$49, MATCH(orders!$D55, products!$A$1:$A$49, 0), MATCH(orders!J$1, products!$A$1:$G$1, 0))</f>
        <v>L</v>
      </c>
      <c r="K55" s="4">
        <f>INDEX(products!$A$1:$G$49, MATCH(orders!$D55, products!$A$1:$A$49, 0), MATCH(orders!K$1, products!$A$1:$G$1, 0))</f>
        <v>2.5</v>
      </c>
      <c r="L55" s="5">
        <f>INDEX(products!$A$1:$G$49, MATCH(orders!$D55, products!$A$1:$A$49, 0), MATCH(orders!L$1, products!$A$1:$G$1, 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 MATCH(orders!$D56, products!$A$1:$A$49, 0), MATCH(orders!I$1, products!$A$1:$G$1, 0))</f>
        <v>Lib</v>
      </c>
      <c r="J56" t="str">
        <f>INDEX(products!$A$1:$G$49, MATCH(orders!$D56, products!$A$1:$A$49, 0), MATCH(orders!J$1, products!$A$1:$G$1, 0))</f>
        <v>M</v>
      </c>
      <c r="K56" s="4">
        <f>INDEX(products!$A$1:$G$49, MATCH(orders!$D56, products!$A$1:$A$49, 0), MATCH(orders!K$1, products!$A$1:$G$1, 0))</f>
        <v>1</v>
      </c>
      <c r="L56" s="5">
        <f>INDEX(products!$A$1:$G$49, MATCH(orders!$D56, products!$A$1:$A$49, 0), MATCH(orders!L$1, products!$A$1:$G$1, 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 MATCH(orders!$D57, products!$A$1:$A$49, 0), MATCH(orders!I$1, products!$A$1:$G$1, 0))</f>
        <v>Lib</v>
      </c>
      <c r="J57" t="str">
        <f>INDEX(products!$A$1:$G$49, MATCH(orders!$D57, products!$A$1:$A$49, 0), MATCH(orders!J$1, products!$A$1:$G$1, 0))</f>
        <v>L</v>
      </c>
      <c r="K57" s="4">
        <f>INDEX(products!$A$1:$G$49, MATCH(orders!$D57, products!$A$1:$A$49, 0), MATCH(orders!K$1, products!$A$1:$G$1, 0))</f>
        <v>1</v>
      </c>
      <c r="L57" s="5">
        <f>INDEX(products!$A$1:$G$49, MATCH(orders!$D57, products!$A$1:$A$49, 0), MATCH(orders!L$1, products!$A$1:$G$1, 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 MATCH(orders!$D58, products!$A$1:$A$49, 0), MATCH(orders!I$1, products!$A$1:$G$1, 0))</f>
        <v>Exc</v>
      </c>
      <c r="J58" t="str">
        <f>INDEX(products!$A$1:$G$49, MATCH(orders!$D58, products!$A$1:$A$49, 0), MATCH(orders!J$1, products!$A$1:$G$1, 0))</f>
        <v>D</v>
      </c>
      <c r="K58" s="4">
        <f>INDEX(products!$A$1:$G$49, MATCH(orders!$D58, products!$A$1:$A$49, 0), MATCH(orders!K$1, products!$A$1:$G$1, 0))</f>
        <v>0.2</v>
      </c>
      <c r="L58" s="5">
        <f>INDEX(products!$A$1:$G$49, MATCH(orders!$D58, products!$A$1:$A$49, 0), MATCH(orders!L$1, products!$A$1:$G$1, 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 MATCH(orders!$D59, products!$A$1:$A$49, 0), MATCH(orders!I$1, products!$A$1:$G$1, 0))</f>
        <v>Exc</v>
      </c>
      <c r="J59" t="str">
        <f>INDEX(products!$A$1:$G$49, MATCH(orders!$D59, products!$A$1:$A$49, 0), MATCH(orders!J$1, products!$A$1:$G$1, 0))</f>
        <v>L</v>
      </c>
      <c r="K59" s="4">
        <f>INDEX(products!$A$1:$G$49, MATCH(orders!$D59, products!$A$1:$A$49, 0), MATCH(orders!K$1, products!$A$1:$G$1, 0))</f>
        <v>1</v>
      </c>
      <c r="L59" s="5">
        <f>INDEX(products!$A$1:$G$49, MATCH(orders!$D59, products!$A$1:$A$49, 0), MATCH(orders!L$1, products!$A$1:$G$1, 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 MATCH(orders!$D60, products!$A$1:$A$49, 0), MATCH(orders!I$1, products!$A$1:$G$1, 0))</f>
        <v>Lib</v>
      </c>
      <c r="J60" t="str">
        <f>INDEX(products!$A$1:$G$49, MATCH(orders!$D60, products!$A$1:$A$49, 0), MATCH(orders!J$1, products!$A$1:$G$1, 0))</f>
        <v>D</v>
      </c>
      <c r="K60" s="4">
        <f>INDEX(products!$A$1:$G$49, MATCH(orders!$D60, products!$A$1:$A$49, 0), MATCH(orders!K$1, products!$A$1:$G$1, 0))</f>
        <v>2.5</v>
      </c>
      <c r="L60" s="5">
        <f>INDEX(products!$A$1:$G$49, MATCH(orders!$D60, products!$A$1:$A$49, 0), MATCH(orders!L$1, products!$A$1:$G$1, 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 MATCH(orders!$D61, products!$A$1:$A$49, 0), MATCH(orders!I$1, products!$A$1:$G$1, 0))</f>
        <v>Lib</v>
      </c>
      <c r="J61" t="str">
        <f>INDEX(products!$A$1:$G$49, MATCH(orders!$D61, products!$A$1:$A$49, 0), MATCH(orders!J$1, products!$A$1:$G$1, 0))</f>
        <v>M</v>
      </c>
      <c r="K61" s="4">
        <f>INDEX(products!$A$1:$G$49, MATCH(orders!$D61, products!$A$1:$A$49, 0), MATCH(orders!K$1, products!$A$1:$G$1, 0))</f>
        <v>0.5</v>
      </c>
      <c r="L61" s="5">
        <f>INDEX(products!$A$1:$G$49, MATCH(orders!$D61, products!$A$1:$A$49, 0), MATCH(orders!L$1, products!$A$1:$G$1, 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 MATCH(orders!$D62, products!$A$1:$A$49, 0), MATCH(orders!I$1, products!$A$1:$G$1, 0))</f>
        <v>Ara</v>
      </c>
      <c r="J62" t="str">
        <f>INDEX(products!$A$1:$G$49, MATCH(orders!$D62, products!$A$1:$A$49, 0), MATCH(orders!J$1, products!$A$1:$G$1, 0))</f>
        <v>D</v>
      </c>
      <c r="K62" s="4">
        <f>INDEX(products!$A$1:$G$49, MATCH(orders!$D62, products!$A$1:$A$49, 0), MATCH(orders!K$1, products!$A$1:$G$1, 0))</f>
        <v>2.5</v>
      </c>
      <c r="L62" s="5">
        <f>INDEX(products!$A$1:$G$49, MATCH(orders!$D62, products!$A$1:$A$49, 0), MATCH(orders!L$1, products!$A$1:$G$1, 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 MATCH(orders!$D63, products!$A$1:$A$49, 0), MATCH(orders!I$1, products!$A$1:$G$1, 0))</f>
        <v>Rob</v>
      </c>
      <c r="J63" t="str">
        <f>INDEX(products!$A$1:$G$49, MATCH(orders!$D63, products!$A$1:$A$49, 0), MATCH(orders!J$1, products!$A$1:$G$1, 0))</f>
        <v>D</v>
      </c>
      <c r="K63" s="4">
        <f>INDEX(products!$A$1:$G$49, MATCH(orders!$D63, products!$A$1:$A$49, 0), MATCH(orders!K$1, products!$A$1:$G$1, 0))</f>
        <v>0.5</v>
      </c>
      <c r="L63" s="5">
        <f>INDEX(products!$A$1:$G$49, MATCH(orders!$D63, products!$A$1:$A$49, 0), MATCH(orders!L$1, products!$A$1:$G$1, 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 MATCH(orders!$D64, products!$A$1:$A$49, 0), MATCH(orders!I$1, products!$A$1:$G$1, 0))</f>
        <v>Lib</v>
      </c>
      <c r="J64" t="str">
        <f>INDEX(products!$A$1:$G$49, MATCH(orders!$D64, products!$A$1:$A$49, 0), MATCH(orders!J$1, products!$A$1:$G$1, 0))</f>
        <v>L</v>
      </c>
      <c r="K64" s="4">
        <f>INDEX(products!$A$1:$G$49, MATCH(orders!$D64, products!$A$1:$A$49, 0), MATCH(orders!K$1, products!$A$1:$G$1, 0))</f>
        <v>0.2</v>
      </c>
      <c r="L64" s="5">
        <f>INDEX(products!$A$1:$G$49, MATCH(orders!$D64, products!$A$1:$A$49, 0), MATCH(orders!L$1, products!$A$1:$G$1, 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 MATCH(orders!$D65, products!$A$1:$A$49, 0), MATCH(orders!I$1, products!$A$1:$G$1, 0))</f>
        <v>Ara</v>
      </c>
      <c r="J65" t="str">
        <f>INDEX(products!$A$1:$G$49, MATCH(orders!$D65, products!$A$1:$A$49, 0), MATCH(orders!J$1, products!$A$1:$G$1, 0))</f>
        <v>M</v>
      </c>
      <c r="K65" s="4">
        <f>INDEX(products!$A$1:$G$49, MATCH(orders!$D65, products!$A$1:$A$49, 0), MATCH(orders!K$1, products!$A$1:$G$1, 0))</f>
        <v>0.5</v>
      </c>
      <c r="L65" s="5">
        <f>INDEX(products!$A$1:$G$49, MATCH(orders!$D65, products!$A$1:$A$49, 0), MATCH(orders!L$1, products!$A$1:$G$1, 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 MATCH(orders!$D66, products!$A$1:$A$49, 0), MATCH(orders!I$1, products!$A$1:$G$1, 0))</f>
        <v>Rob</v>
      </c>
      <c r="J66" t="str">
        <f>INDEX(products!$A$1:$G$49, MATCH(orders!$D66, products!$A$1:$A$49, 0), MATCH(orders!J$1, products!$A$1:$G$1, 0))</f>
        <v>M</v>
      </c>
      <c r="K66" s="4">
        <f>INDEX(products!$A$1:$G$49, MATCH(orders!$D66, products!$A$1:$A$49, 0), MATCH(orders!K$1, products!$A$1:$G$1, 0))</f>
        <v>0.5</v>
      </c>
      <c r="L66" s="5">
        <f>INDEX(products!$A$1:$G$49, MATCH(orders!$D66, products!$A$1:$A$49, 0), MATCH(orders!L$1, products!$A$1:$G$1, 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 MATCH(orders!$D67, products!$A$1:$A$49, 0), MATCH(orders!I$1, products!$A$1:$G$1, 0))</f>
        <v>Rob</v>
      </c>
      <c r="J67" t="str">
        <f>INDEX(products!$A$1:$G$49, MATCH(orders!$D67, products!$A$1:$A$49, 0), MATCH(orders!J$1, products!$A$1:$G$1, 0))</f>
        <v>D</v>
      </c>
      <c r="K67" s="4">
        <f>INDEX(products!$A$1:$G$49, MATCH(orders!$D67, products!$A$1:$A$49, 0), MATCH(orders!K$1, products!$A$1:$G$1, 0))</f>
        <v>2.5</v>
      </c>
      <c r="L67" s="5">
        <f>INDEX(products!$A$1:$G$49, MATCH(orders!$D67, products!$A$1:$A$49, 0), MATCH(orders!L$1, products!$A$1:$G$1, 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 MATCH(orders!$D68, products!$A$1:$A$49, 0), MATCH(orders!I$1, products!$A$1:$G$1, 0))</f>
        <v>Rob</v>
      </c>
      <c r="J68" t="str">
        <f>INDEX(products!$A$1:$G$49, MATCH(orders!$D68, products!$A$1:$A$49, 0), MATCH(orders!J$1, products!$A$1:$G$1, 0))</f>
        <v>L</v>
      </c>
      <c r="K68" s="4">
        <f>INDEX(products!$A$1:$G$49, MATCH(orders!$D68, products!$A$1:$A$49, 0), MATCH(orders!K$1, products!$A$1:$G$1, 0))</f>
        <v>0.5</v>
      </c>
      <c r="L68" s="5">
        <f>INDEX(products!$A$1:$G$49, MATCH(orders!$D68, products!$A$1:$A$49, 0), MATCH(orders!L$1, products!$A$1:$G$1, 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 MATCH(orders!$D69, products!$A$1:$A$49, 0), MATCH(orders!I$1, products!$A$1:$G$1, 0))</f>
        <v>Lib</v>
      </c>
      <c r="J69" t="str">
        <f>INDEX(products!$A$1:$G$49, MATCH(orders!$D69, products!$A$1:$A$49, 0), MATCH(orders!J$1, products!$A$1:$G$1, 0))</f>
        <v>L</v>
      </c>
      <c r="K69" s="4">
        <f>INDEX(products!$A$1:$G$49, MATCH(orders!$D69, products!$A$1:$A$49, 0), MATCH(orders!K$1, products!$A$1:$G$1, 0))</f>
        <v>0.2</v>
      </c>
      <c r="L69" s="5">
        <f>INDEX(products!$A$1:$G$49, MATCH(orders!$D69, products!$A$1:$A$49, 0), MATCH(orders!L$1, products!$A$1:$G$1, 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 MATCH(orders!$D70, products!$A$1:$A$49, 0), MATCH(orders!I$1, products!$A$1:$G$1, 0))</f>
        <v>Rob</v>
      </c>
      <c r="J70" t="str">
        <f>INDEX(products!$A$1:$G$49, MATCH(orders!$D70, products!$A$1:$A$49, 0), MATCH(orders!J$1, products!$A$1:$G$1, 0))</f>
        <v>M</v>
      </c>
      <c r="K70" s="4">
        <f>INDEX(products!$A$1:$G$49, MATCH(orders!$D70, products!$A$1:$A$49, 0), MATCH(orders!K$1, products!$A$1:$G$1, 0))</f>
        <v>0.2</v>
      </c>
      <c r="L70" s="5">
        <f>INDEX(products!$A$1:$G$49, MATCH(orders!$D70, products!$A$1:$A$49, 0), MATCH(orders!L$1, products!$A$1:$G$1, 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 MATCH(orders!$D71, products!$A$1:$A$49, 0), MATCH(orders!I$1, products!$A$1:$G$1, 0))</f>
        <v>Rob</v>
      </c>
      <c r="J71" t="str">
        <f>INDEX(products!$A$1:$G$49, MATCH(orders!$D71, products!$A$1:$A$49, 0), MATCH(orders!J$1, products!$A$1:$G$1, 0))</f>
        <v>M</v>
      </c>
      <c r="K71" s="4">
        <f>INDEX(products!$A$1:$G$49, MATCH(orders!$D71, products!$A$1:$A$49, 0), MATCH(orders!K$1, products!$A$1:$G$1, 0))</f>
        <v>1</v>
      </c>
      <c r="L71" s="5">
        <f>INDEX(products!$A$1:$G$49, MATCH(orders!$D71, products!$A$1:$A$49, 0), MATCH(orders!L$1, products!$A$1:$G$1, 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 MATCH(orders!$D72, products!$A$1:$A$49, 0), MATCH(orders!I$1, products!$A$1:$G$1, 0))</f>
        <v>Exc</v>
      </c>
      <c r="J72" t="str">
        <f>INDEX(products!$A$1:$G$49, MATCH(orders!$D72, products!$A$1:$A$49, 0), MATCH(orders!J$1, products!$A$1:$G$1, 0))</f>
        <v>L</v>
      </c>
      <c r="K72" s="4">
        <f>INDEX(products!$A$1:$G$49, MATCH(orders!$D72, products!$A$1:$A$49, 0), MATCH(orders!K$1, products!$A$1:$G$1, 0))</f>
        <v>2.5</v>
      </c>
      <c r="L72" s="5">
        <f>INDEX(products!$A$1:$G$49, MATCH(orders!$D72, products!$A$1:$A$49, 0), MATCH(orders!L$1, products!$A$1:$G$1, 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 MATCH(orders!$D73, products!$A$1:$A$49, 0), MATCH(orders!I$1, products!$A$1:$G$1, 0))</f>
        <v>Lib</v>
      </c>
      <c r="J73" t="str">
        <f>INDEX(products!$A$1:$G$49, MATCH(orders!$D73, products!$A$1:$A$49, 0), MATCH(orders!J$1, products!$A$1:$G$1, 0))</f>
        <v>L</v>
      </c>
      <c r="K73" s="4">
        <f>INDEX(products!$A$1:$G$49, MATCH(orders!$D73, products!$A$1:$A$49, 0), MATCH(orders!K$1, products!$A$1:$G$1, 0))</f>
        <v>0.2</v>
      </c>
      <c r="L73" s="5">
        <f>INDEX(products!$A$1:$G$49, MATCH(orders!$D73, products!$A$1:$A$49, 0), MATCH(orders!L$1, products!$A$1:$G$1, 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 MATCH(orders!$D74, products!$A$1:$A$49, 0), MATCH(orders!I$1, products!$A$1:$G$1, 0))</f>
        <v>Ara</v>
      </c>
      <c r="J74" t="str">
        <f>INDEX(products!$A$1:$G$49, MATCH(orders!$D74, products!$A$1:$A$49, 0), MATCH(orders!J$1, products!$A$1:$G$1, 0))</f>
        <v>M</v>
      </c>
      <c r="K74" s="4">
        <f>INDEX(products!$A$1:$G$49, MATCH(orders!$D74, products!$A$1:$A$49, 0), MATCH(orders!K$1, products!$A$1:$G$1, 0))</f>
        <v>2.5</v>
      </c>
      <c r="L74" s="5">
        <f>INDEX(products!$A$1:$G$49, MATCH(orders!$D74, products!$A$1:$A$49, 0), MATCH(orders!L$1, products!$A$1:$G$1, 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 MATCH(orders!$D75, products!$A$1:$A$49, 0), MATCH(orders!I$1, products!$A$1:$G$1, 0))</f>
        <v>Lib</v>
      </c>
      <c r="J75" t="str">
        <f>INDEX(products!$A$1:$G$49, MATCH(orders!$D75, products!$A$1:$A$49, 0), MATCH(orders!J$1, products!$A$1:$G$1, 0))</f>
        <v>M</v>
      </c>
      <c r="K75" s="4">
        <f>INDEX(products!$A$1:$G$49, MATCH(orders!$D75, products!$A$1:$A$49, 0), MATCH(orders!K$1, products!$A$1:$G$1, 0))</f>
        <v>0.2</v>
      </c>
      <c r="L75" s="5">
        <f>INDEX(products!$A$1:$G$49, MATCH(orders!$D75, products!$A$1:$A$49, 0), MATCH(orders!L$1, products!$A$1:$G$1, 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 MATCH(orders!$D76, products!$A$1:$A$49, 0), MATCH(orders!I$1, products!$A$1:$G$1, 0))</f>
        <v>Exc</v>
      </c>
      <c r="J76" t="str">
        <f>INDEX(products!$A$1:$G$49, MATCH(orders!$D76, products!$A$1:$A$49, 0), MATCH(orders!J$1, products!$A$1:$G$1, 0))</f>
        <v>L</v>
      </c>
      <c r="K76" s="4">
        <f>INDEX(products!$A$1:$G$49, MATCH(orders!$D76, products!$A$1:$A$49, 0), MATCH(orders!K$1, products!$A$1:$G$1, 0))</f>
        <v>0.5</v>
      </c>
      <c r="L76" s="5">
        <f>INDEX(products!$A$1:$G$49, MATCH(orders!$D76, products!$A$1:$A$49, 0), MATCH(orders!L$1, products!$A$1:$G$1, 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 MATCH(orders!$D77, products!$A$1:$A$49, 0), MATCH(orders!I$1, products!$A$1:$G$1, 0))</f>
        <v>Rob</v>
      </c>
      <c r="J77" t="str">
        <f>INDEX(products!$A$1:$G$49, MATCH(orders!$D77, products!$A$1:$A$49, 0), MATCH(orders!J$1, products!$A$1:$G$1, 0))</f>
        <v>D</v>
      </c>
      <c r="K77" s="4">
        <f>INDEX(products!$A$1:$G$49, MATCH(orders!$D77, products!$A$1:$A$49, 0), MATCH(orders!K$1, products!$A$1:$G$1, 0))</f>
        <v>1</v>
      </c>
      <c r="L77" s="5">
        <f>INDEX(products!$A$1:$G$49, MATCH(orders!$D77, products!$A$1:$A$49, 0), MATCH(orders!L$1, products!$A$1:$G$1, 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 MATCH(orders!$D78, products!$A$1:$A$49, 0), MATCH(orders!I$1, products!$A$1:$G$1, 0))</f>
        <v>Rob</v>
      </c>
      <c r="J78" t="str">
        <f>INDEX(products!$A$1:$G$49, MATCH(orders!$D78, products!$A$1:$A$49, 0), MATCH(orders!J$1, products!$A$1:$G$1, 0))</f>
        <v>L</v>
      </c>
      <c r="K78" s="4">
        <f>INDEX(products!$A$1:$G$49, MATCH(orders!$D78, products!$A$1:$A$49, 0), MATCH(orders!K$1, products!$A$1:$G$1, 0))</f>
        <v>0.2</v>
      </c>
      <c r="L78" s="5">
        <f>INDEX(products!$A$1:$G$49, MATCH(orders!$D78, products!$A$1:$A$49, 0), MATCH(orders!L$1, products!$A$1:$G$1, 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 MATCH(orders!$D79, products!$A$1:$A$49, 0), MATCH(orders!I$1, products!$A$1:$G$1, 0))</f>
        <v>Exc</v>
      </c>
      <c r="J79" t="str">
        <f>INDEX(products!$A$1:$G$49, MATCH(orders!$D79, products!$A$1:$A$49, 0), MATCH(orders!J$1, products!$A$1:$G$1, 0))</f>
        <v>D</v>
      </c>
      <c r="K79" s="4">
        <f>INDEX(products!$A$1:$G$49, MATCH(orders!$D79, products!$A$1:$A$49, 0), MATCH(orders!K$1, products!$A$1:$G$1, 0))</f>
        <v>0.2</v>
      </c>
      <c r="L79" s="5">
        <f>INDEX(products!$A$1:$G$49, MATCH(orders!$D79, products!$A$1:$A$49, 0), MATCH(orders!L$1, products!$A$1:$G$1, 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 MATCH(orders!$D80, products!$A$1:$A$49, 0), MATCH(orders!I$1, products!$A$1:$G$1, 0))</f>
        <v>Ara</v>
      </c>
      <c r="J80" t="str">
        <f>INDEX(products!$A$1:$G$49, MATCH(orders!$D80, products!$A$1:$A$49, 0), MATCH(orders!J$1, products!$A$1:$G$1, 0))</f>
        <v>M</v>
      </c>
      <c r="K80" s="4">
        <f>INDEX(products!$A$1:$G$49, MATCH(orders!$D80, products!$A$1:$A$49, 0), MATCH(orders!K$1, products!$A$1:$G$1, 0))</f>
        <v>0.5</v>
      </c>
      <c r="L80" s="5">
        <f>INDEX(products!$A$1:$G$49, MATCH(orders!$D80, products!$A$1:$A$49, 0), MATCH(orders!L$1, products!$A$1:$G$1, 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 MATCH(orders!$D81, products!$A$1:$A$49, 0), MATCH(orders!I$1, products!$A$1:$G$1, 0))</f>
        <v>Rob</v>
      </c>
      <c r="J81" t="str">
        <f>INDEX(products!$A$1:$G$49, MATCH(orders!$D81, products!$A$1:$A$49, 0), MATCH(orders!J$1, products!$A$1:$G$1, 0))</f>
        <v>L</v>
      </c>
      <c r="K81" s="4">
        <f>INDEX(products!$A$1:$G$49, MATCH(orders!$D81, products!$A$1:$A$49, 0), MATCH(orders!K$1, products!$A$1:$G$1, 0))</f>
        <v>1</v>
      </c>
      <c r="L81" s="5">
        <f>INDEX(products!$A$1:$G$49, MATCH(orders!$D81, products!$A$1:$A$49, 0), MATCH(orders!L$1, products!$A$1:$G$1, 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 MATCH(orders!$D82, products!$A$1:$A$49, 0), MATCH(orders!I$1, products!$A$1:$G$1, 0))</f>
        <v>Ara</v>
      </c>
      <c r="J82" t="str">
        <f>INDEX(products!$A$1:$G$49, MATCH(orders!$D82, products!$A$1:$A$49, 0), MATCH(orders!J$1, products!$A$1:$G$1, 0))</f>
        <v>L</v>
      </c>
      <c r="K82" s="4">
        <f>INDEX(products!$A$1:$G$49, MATCH(orders!$D82, products!$A$1:$A$49, 0), MATCH(orders!K$1, products!$A$1:$G$1, 0))</f>
        <v>0.5</v>
      </c>
      <c r="L82" s="5">
        <f>INDEX(products!$A$1:$G$49, MATCH(orders!$D82, products!$A$1:$A$49, 0), MATCH(orders!L$1, products!$A$1:$G$1, 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 MATCH(orders!$D83, products!$A$1:$A$49, 0), MATCH(orders!I$1, products!$A$1:$G$1, 0))</f>
        <v>Lib</v>
      </c>
      <c r="J83" t="str">
        <f>INDEX(products!$A$1:$G$49, MATCH(orders!$D83, products!$A$1:$A$49, 0), MATCH(orders!J$1, products!$A$1:$G$1, 0))</f>
        <v>L</v>
      </c>
      <c r="K83" s="4">
        <f>INDEX(products!$A$1:$G$49, MATCH(orders!$D83, products!$A$1:$A$49, 0), MATCH(orders!K$1, products!$A$1:$G$1, 0))</f>
        <v>2.5</v>
      </c>
      <c r="L83" s="5">
        <f>INDEX(products!$A$1:$G$49, MATCH(orders!$D83, products!$A$1:$A$49, 0), MATCH(orders!L$1, products!$A$1:$G$1, 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 MATCH(orders!$D84, products!$A$1:$A$49, 0), MATCH(orders!I$1, products!$A$1:$G$1, 0))</f>
        <v>Lib</v>
      </c>
      <c r="J84" t="str">
        <f>INDEX(products!$A$1:$G$49, MATCH(orders!$D84, products!$A$1:$A$49, 0), MATCH(orders!J$1, products!$A$1:$G$1, 0))</f>
        <v>M</v>
      </c>
      <c r="K84" s="4">
        <f>INDEX(products!$A$1:$G$49, MATCH(orders!$D84, products!$A$1:$A$49, 0), MATCH(orders!K$1, products!$A$1:$G$1, 0))</f>
        <v>2.5</v>
      </c>
      <c r="L84" s="5">
        <f>INDEX(products!$A$1:$G$49, MATCH(orders!$D84, products!$A$1:$A$49, 0), MATCH(orders!L$1, products!$A$1:$G$1, 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 MATCH(orders!$D85, products!$A$1:$A$49, 0), MATCH(orders!I$1, products!$A$1:$G$1, 0))</f>
        <v>Rob</v>
      </c>
      <c r="J85" t="str">
        <f>INDEX(products!$A$1:$G$49, MATCH(orders!$D85, products!$A$1:$A$49, 0), MATCH(orders!J$1, products!$A$1:$G$1, 0))</f>
        <v>D</v>
      </c>
      <c r="K85" s="4">
        <f>INDEX(products!$A$1:$G$49, MATCH(orders!$D85, products!$A$1:$A$49, 0), MATCH(orders!K$1, products!$A$1:$G$1, 0))</f>
        <v>2.5</v>
      </c>
      <c r="L85" s="5">
        <f>INDEX(products!$A$1:$G$49, MATCH(orders!$D85, products!$A$1:$A$49, 0), MATCH(orders!L$1, products!$A$1:$G$1, 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 MATCH(orders!$D86, products!$A$1:$A$49, 0), MATCH(orders!I$1, products!$A$1:$G$1, 0))</f>
        <v>Lib</v>
      </c>
      <c r="J86" t="str">
        <f>INDEX(products!$A$1:$G$49, MATCH(orders!$D86, products!$A$1:$A$49, 0), MATCH(orders!J$1, products!$A$1:$G$1, 0))</f>
        <v>L</v>
      </c>
      <c r="K86" s="4">
        <f>INDEX(products!$A$1:$G$49, MATCH(orders!$D86, products!$A$1:$A$49, 0), MATCH(orders!K$1, products!$A$1:$G$1, 0))</f>
        <v>0.5</v>
      </c>
      <c r="L86" s="5">
        <f>INDEX(products!$A$1:$G$49, MATCH(orders!$D86, products!$A$1:$A$49, 0), MATCH(orders!L$1, products!$A$1:$G$1, 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 MATCH(orders!$D87, products!$A$1:$A$49, 0), MATCH(orders!I$1, products!$A$1:$G$1, 0))</f>
        <v>Ara</v>
      </c>
      <c r="J87" t="str">
        <f>INDEX(products!$A$1:$G$49, MATCH(orders!$D87, products!$A$1:$A$49, 0), MATCH(orders!J$1, products!$A$1:$G$1, 0))</f>
        <v>L</v>
      </c>
      <c r="K87" s="4">
        <f>INDEX(products!$A$1:$G$49, MATCH(orders!$D87, products!$A$1:$A$49, 0), MATCH(orders!K$1, products!$A$1:$G$1, 0))</f>
        <v>2.5</v>
      </c>
      <c r="L87" s="5">
        <f>INDEX(products!$A$1:$G$49, MATCH(orders!$D87, products!$A$1:$A$49, 0), MATCH(orders!L$1, products!$A$1:$G$1, 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 MATCH(orders!$D88, products!$A$1:$A$49, 0), MATCH(orders!I$1, products!$A$1:$G$1, 0))</f>
        <v>Ara</v>
      </c>
      <c r="J88" t="str">
        <f>INDEX(products!$A$1:$G$49, MATCH(orders!$D88, products!$A$1:$A$49, 0), MATCH(orders!J$1, products!$A$1:$G$1, 0))</f>
        <v>D</v>
      </c>
      <c r="K88" s="4">
        <f>INDEX(products!$A$1:$G$49, MATCH(orders!$D88, products!$A$1:$A$49, 0), MATCH(orders!K$1, products!$A$1:$G$1, 0))</f>
        <v>0.2</v>
      </c>
      <c r="L88" s="5">
        <f>INDEX(products!$A$1:$G$49, MATCH(orders!$D88, products!$A$1:$A$49, 0), MATCH(orders!L$1, products!$A$1:$G$1, 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 MATCH(orders!$D89, products!$A$1:$A$49, 0), MATCH(orders!I$1, products!$A$1:$G$1, 0))</f>
        <v>Ara</v>
      </c>
      <c r="J89" t="str">
        <f>INDEX(products!$A$1:$G$49, MATCH(orders!$D89, products!$A$1:$A$49, 0), MATCH(orders!J$1, products!$A$1:$G$1, 0))</f>
        <v>M</v>
      </c>
      <c r="K89" s="4">
        <f>INDEX(products!$A$1:$G$49, MATCH(orders!$D89, products!$A$1:$A$49, 0), MATCH(orders!K$1, products!$A$1:$G$1, 0))</f>
        <v>1</v>
      </c>
      <c r="L89" s="5">
        <f>INDEX(products!$A$1:$G$49, MATCH(orders!$D89, products!$A$1:$A$49, 0), MATCH(orders!L$1, products!$A$1:$G$1, 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 MATCH(orders!$D90, products!$A$1:$A$49, 0), MATCH(orders!I$1, products!$A$1:$G$1, 0))</f>
        <v>Rob</v>
      </c>
      <c r="J90" t="str">
        <f>INDEX(products!$A$1:$G$49, MATCH(orders!$D90, products!$A$1:$A$49, 0), MATCH(orders!J$1, products!$A$1:$G$1, 0))</f>
        <v>L</v>
      </c>
      <c r="K90" s="4">
        <f>INDEX(products!$A$1:$G$49, MATCH(orders!$D90, products!$A$1:$A$49, 0), MATCH(orders!K$1, products!$A$1:$G$1, 0))</f>
        <v>1</v>
      </c>
      <c r="L90" s="5">
        <f>INDEX(products!$A$1:$G$49, MATCH(orders!$D90, products!$A$1:$A$49, 0), MATCH(orders!L$1, products!$A$1:$G$1, 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 MATCH(orders!$D91, products!$A$1:$A$49, 0), MATCH(orders!I$1, products!$A$1:$G$1, 0))</f>
        <v>Ara</v>
      </c>
      <c r="J91" t="str">
        <f>INDEX(products!$A$1:$G$49, MATCH(orders!$D91, products!$A$1:$A$49, 0), MATCH(orders!J$1, products!$A$1:$G$1, 0))</f>
        <v>L</v>
      </c>
      <c r="K91" s="4">
        <f>INDEX(products!$A$1:$G$49, MATCH(orders!$D91, products!$A$1:$A$49, 0), MATCH(orders!K$1, products!$A$1:$G$1, 0))</f>
        <v>1</v>
      </c>
      <c r="L91" s="5">
        <f>INDEX(products!$A$1:$G$49, MATCH(orders!$D91, products!$A$1:$A$49, 0), MATCH(orders!L$1, products!$A$1:$G$1, 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 MATCH(orders!$D92, products!$A$1:$A$49, 0), MATCH(orders!I$1, products!$A$1:$G$1, 0))</f>
        <v>Ara</v>
      </c>
      <c r="J92" t="str">
        <f>INDEX(products!$A$1:$G$49, MATCH(orders!$D92, products!$A$1:$A$49, 0), MATCH(orders!J$1, products!$A$1:$G$1, 0))</f>
        <v>L</v>
      </c>
      <c r="K92" s="4">
        <f>INDEX(products!$A$1:$G$49, MATCH(orders!$D92, products!$A$1:$A$49, 0), MATCH(orders!K$1, products!$A$1:$G$1, 0))</f>
        <v>1</v>
      </c>
      <c r="L92" s="5">
        <f>INDEX(products!$A$1:$G$49, MATCH(orders!$D92, products!$A$1:$A$49, 0), MATCH(orders!L$1, products!$A$1:$G$1, 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 MATCH(orders!$D93, products!$A$1:$A$49, 0), MATCH(orders!I$1, products!$A$1:$G$1, 0))</f>
        <v>Ara</v>
      </c>
      <c r="J93" t="str">
        <f>INDEX(products!$A$1:$G$49, MATCH(orders!$D93, products!$A$1:$A$49, 0), MATCH(orders!J$1, products!$A$1:$G$1, 0))</f>
        <v>M</v>
      </c>
      <c r="K93" s="4">
        <f>INDEX(products!$A$1:$G$49, MATCH(orders!$D93, products!$A$1:$A$49, 0), MATCH(orders!K$1, products!$A$1:$G$1, 0))</f>
        <v>2.5</v>
      </c>
      <c r="L93" s="5">
        <f>INDEX(products!$A$1:$G$49, MATCH(orders!$D93, products!$A$1:$A$49, 0), MATCH(orders!L$1, products!$A$1:$G$1, 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 MATCH(orders!$D94, products!$A$1:$A$49, 0), MATCH(orders!I$1, products!$A$1:$G$1, 0))</f>
        <v>Exc</v>
      </c>
      <c r="J94" t="str">
        <f>INDEX(products!$A$1:$G$49, MATCH(orders!$D94, products!$A$1:$A$49, 0), MATCH(orders!J$1, products!$A$1:$G$1, 0))</f>
        <v>L</v>
      </c>
      <c r="K94" s="4">
        <f>INDEX(products!$A$1:$G$49, MATCH(orders!$D94, products!$A$1:$A$49, 0), MATCH(orders!K$1, products!$A$1:$G$1, 0))</f>
        <v>1</v>
      </c>
      <c r="L94" s="5">
        <f>INDEX(products!$A$1:$G$49, MATCH(orders!$D94, products!$A$1:$A$49, 0), MATCH(orders!L$1, products!$A$1:$G$1, 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 MATCH(orders!$D95, products!$A$1:$A$49, 0), MATCH(orders!I$1, products!$A$1:$G$1, 0))</f>
        <v>Exc</v>
      </c>
      <c r="J95" t="str">
        <f>INDEX(products!$A$1:$G$49, MATCH(orders!$D95, products!$A$1:$A$49, 0), MATCH(orders!J$1, products!$A$1:$G$1, 0))</f>
        <v>L</v>
      </c>
      <c r="K95" s="4">
        <f>INDEX(products!$A$1:$G$49, MATCH(orders!$D95, products!$A$1:$A$49, 0), MATCH(orders!K$1, products!$A$1:$G$1, 0))</f>
        <v>0.5</v>
      </c>
      <c r="L95" s="5">
        <f>INDEX(products!$A$1:$G$49, MATCH(orders!$D95, products!$A$1:$A$49, 0), MATCH(orders!L$1, products!$A$1:$G$1, 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 MATCH(orders!$D96, products!$A$1:$A$49, 0), MATCH(orders!I$1, products!$A$1:$G$1, 0))</f>
        <v>Ara</v>
      </c>
      <c r="J96" t="str">
        <f>INDEX(products!$A$1:$G$49, MATCH(orders!$D96, products!$A$1:$A$49, 0), MATCH(orders!J$1, products!$A$1:$G$1, 0))</f>
        <v>D</v>
      </c>
      <c r="K96" s="4">
        <f>INDEX(products!$A$1:$G$49, MATCH(orders!$D96, products!$A$1:$A$49, 0), MATCH(orders!K$1, products!$A$1:$G$1, 0))</f>
        <v>0.2</v>
      </c>
      <c r="L96" s="5">
        <f>INDEX(products!$A$1:$G$49, MATCH(orders!$D96, products!$A$1:$A$49, 0), MATCH(orders!L$1, products!$A$1:$G$1, 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 MATCH(orders!$D97, products!$A$1:$A$49, 0), MATCH(orders!I$1, products!$A$1:$G$1, 0))</f>
        <v>Ara</v>
      </c>
      <c r="J97" t="str">
        <f>INDEX(products!$A$1:$G$49, MATCH(orders!$D97, products!$A$1:$A$49, 0), MATCH(orders!J$1, products!$A$1:$G$1, 0))</f>
        <v>M</v>
      </c>
      <c r="K97" s="4">
        <f>INDEX(products!$A$1:$G$49, MATCH(orders!$D97, products!$A$1:$A$49, 0), MATCH(orders!K$1, products!$A$1:$G$1, 0))</f>
        <v>2.5</v>
      </c>
      <c r="L97" s="5">
        <f>INDEX(products!$A$1:$G$49, MATCH(orders!$D97, products!$A$1:$A$49, 0), MATCH(orders!L$1, products!$A$1:$G$1, 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 MATCH(orders!$D98, products!$A$1:$A$49, 0), MATCH(orders!I$1, products!$A$1:$G$1, 0))</f>
        <v>Ara</v>
      </c>
      <c r="J98" t="str">
        <f>INDEX(products!$A$1:$G$49, MATCH(orders!$D98, products!$A$1:$A$49, 0), MATCH(orders!J$1, products!$A$1:$G$1, 0))</f>
        <v>D</v>
      </c>
      <c r="K98" s="4">
        <f>INDEX(products!$A$1:$G$49, MATCH(orders!$D98, products!$A$1:$A$49, 0), MATCH(orders!K$1, products!$A$1:$G$1, 0))</f>
        <v>0.2</v>
      </c>
      <c r="L98" s="5">
        <f>INDEX(products!$A$1:$G$49, MATCH(orders!$D98, products!$A$1:$A$49, 0), MATCH(orders!L$1, products!$A$1:$G$1, 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 MATCH(orders!$D99, products!$A$1:$A$49, 0), MATCH(orders!I$1, products!$A$1:$G$1, 0))</f>
        <v>Ara</v>
      </c>
      <c r="J99" t="str">
        <f>INDEX(products!$A$1:$G$49, MATCH(orders!$D99, products!$A$1:$A$49, 0), MATCH(orders!J$1, products!$A$1:$G$1, 0))</f>
        <v>M</v>
      </c>
      <c r="K99" s="4">
        <f>INDEX(products!$A$1:$G$49, MATCH(orders!$D99, products!$A$1:$A$49, 0), MATCH(orders!K$1, products!$A$1:$G$1, 0))</f>
        <v>0.5</v>
      </c>
      <c r="L99" s="5">
        <f>INDEX(products!$A$1:$G$49, MATCH(orders!$D99, products!$A$1:$A$49, 0), MATCH(orders!L$1, products!$A$1:$G$1, 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 MATCH(orders!$D100, products!$A$1:$A$49, 0), MATCH(orders!I$1, products!$A$1:$G$1, 0))</f>
        <v>Ara</v>
      </c>
      <c r="J100" t="str">
        <f>INDEX(products!$A$1:$G$49, MATCH(orders!$D100, products!$A$1:$A$49, 0), MATCH(orders!J$1, products!$A$1:$G$1, 0))</f>
        <v>D</v>
      </c>
      <c r="K100" s="4">
        <f>INDEX(products!$A$1:$G$49, MATCH(orders!$D100, products!$A$1:$A$49, 0), MATCH(orders!K$1, products!$A$1:$G$1, 0))</f>
        <v>0.2</v>
      </c>
      <c r="L100" s="5">
        <f>INDEX(products!$A$1:$G$49, MATCH(orders!$D100, products!$A$1:$A$49, 0), MATCH(orders!L$1, products!$A$1:$G$1, 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 MATCH(orders!$D101, products!$A$1:$A$49, 0), MATCH(orders!I$1, products!$A$1:$G$1, 0))</f>
        <v>Lib</v>
      </c>
      <c r="J101" t="str">
        <f>INDEX(products!$A$1:$G$49, MATCH(orders!$D101, products!$A$1:$A$49, 0), MATCH(orders!J$1, products!$A$1:$G$1, 0))</f>
        <v>M</v>
      </c>
      <c r="K101" s="4">
        <f>INDEX(products!$A$1:$G$49, MATCH(orders!$D101, products!$A$1:$A$49, 0), MATCH(orders!K$1, products!$A$1:$G$1, 0))</f>
        <v>0.2</v>
      </c>
      <c r="L101" s="5">
        <f>INDEX(products!$A$1:$G$49, MATCH(orders!$D101, products!$A$1:$A$49, 0), MATCH(orders!L$1, products!$A$1:$G$1, 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 MATCH(orders!$D102, products!$A$1:$A$49, 0), MATCH(orders!I$1, products!$A$1:$G$1, 0))</f>
        <v>Ara</v>
      </c>
      <c r="J102" t="str">
        <f>INDEX(products!$A$1:$G$49, MATCH(orders!$D102, products!$A$1:$A$49, 0), MATCH(orders!J$1, products!$A$1:$G$1, 0))</f>
        <v>L</v>
      </c>
      <c r="K102" s="4">
        <f>INDEX(products!$A$1:$G$49, MATCH(orders!$D102, products!$A$1:$A$49, 0), MATCH(orders!K$1, products!$A$1:$G$1, 0))</f>
        <v>0.2</v>
      </c>
      <c r="L102" s="5">
        <f>INDEX(products!$A$1:$G$49, MATCH(orders!$D102, products!$A$1:$A$49, 0), MATCH(orders!L$1, products!$A$1:$G$1, 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 MATCH(orders!$D103, products!$A$1:$A$49, 0), MATCH(orders!I$1, products!$A$1:$G$1, 0))</f>
        <v>Lib</v>
      </c>
      <c r="J103" t="str">
        <f>INDEX(products!$A$1:$G$49, MATCH(orders!$D103, products!$A$1:$A$49, 0), MATCH(orders!J$1, products!$A$1:$G$1, 0))</f>
        <v>D</v>
      </c>
      <c r="K103" s="4">
        <f>INDEX(products!$A$1:$G$49, MATCH(orders!$D103, products!$A$1:$A$49, 0), MATCH(orders!K$1, products!$A$1:$G$1, 0))</f>
        <v>2.5</v>
      </c>
      <c r="L103" s="5">
        <f>INDEX(products!$A$1:$G$49, MATCH(orders!$D103, products!$A$1:$A$49, 0), MATCH(orders!L$1, products!$A$1:$G$1, 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 MATCH(orders!$D104, products!$A$1:$A$49, 0), MATCH(orders!I$1, products!$A$1:$G$1, 0))</f>
        <v>Lib</v>
      </c>
      <c r="J104" t="str">
        <f>INDEX(products!$A$1:$G$49, MATCH(orders!$D104, products!$A$1:$A$49, 0), MATCH(orders!J$1, products!$A$1:$G$1, 0))</f>
        <v>D</v>
      </c>
      <c r="K104" s="4">
        <f>INDEX(products!$A$1:$G$49, MATCH(orders!$D104, products!$A$1:$A$49, 0), MATCH(orders!K$1, products!$A$1:$G$1, 0))</f>
        <v>1</v>
      </c>
      <c r="L104" s="5">
        <f>INDEX(products!$A$1:$G$49, MATCH(orders!$D104, products!$A$1:$A$49, 0), MATCH(orders!L$1, products!$A$1:$G$1, 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 MATCH(orders!$D105, products!$A$1:$A$49, 0), MATCH(orders!I$1, products!$A$1:$G$1, 0))</f>
        <v>Rob</v>
      </c>
      <c r="J105" t="str">
        <f>INDEX(products!$A$1:$G$49, MATCH(orders!$D105, products!$A$1:$A$49, 0), MATCH(orders!J$1, products!$A$1:$G$1, 0))</f>
        <v>M</v>
      </c>
      <c r="K105" s="4">
        <f>INDEX(products!$A$1:$G$49, MATCH(orders!$D105, products!$A$1:$A$49, 0), MATCH(orders!K$1, products!$A$1:$G$1, 0))</f>
        <v>0.2</v>
      </c>
      <c r="L105" s="5">
        <f>INDEX(products!$A$1:$G$49, MATCH(orders!$D105, products!$A$1:$A$49, 0), MATCH(orders!L$1, products!$A$1:$G$1, 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 MATCH(orders!$D106, products!$A$1:$A$49, 0), MATCH(orders!I$1, products!$A$1:$G$1, 0))</f>
        <v>Lib</v>
      </c>
      <c r="J106" t="str">
        <f>INDEX(products!$A$1:$G$49, MATCH(orders!$D106, products!$A$1:$A$49, 0), MATCH(orders!J$1, products!$A$1:$G$1, 0))</f>
        <v>M</v>
      </c>
      <c r="K106" s="4">
        <f>INDEX(products!$A$1:$G$49, MATCH(orders!$D106, products!$A$1:$A$49, 0), MATCH(orders!K$1, products!$A$1:$G$1, 0))</f>
        <v>1</v>
      </c>
      <c r="L106" s="5">
        <f>INDEX(products!$A$1:$G$49, MATCH(orders!$D106, products!$A$1:$A$49, 0), MATCH(orders!L$1, products!$A$1:$G$1, 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 MATCH(orders!$D107, products!$A$1:$A$49, 0), MATCH(orders!I$1, products!$A$1:$G$1, 0))</f>
        <v>Ara</v>
      </c>
      <c r="J107" t="str">
        <f>INDEX(products!$A$1:$G$49, MATCH(orders!$D107, products!$A$1:$A$49, 0), MATCH(orders!J$1, products!$A$1:$G$1, 0))</f>
        <v>M</v>
      </c>
      <c r="K107" s="4">
        <f>INDEX(products!$A$1:$G$49, MATCH(orders!$D107, products!$A$1:$A$49, 0), MATCH(orders!K$1, products!$A$1:$G$1, 0))</f>
        <v>0.5</v>
      </c>
      <c r="L107" s="5">
        <f>INDEX(products!$A$1:$G$49, MATCH(orders!$D107, products!$A$1:$A$49, 0), MATCH(orders!L$1, products!$A$1:$G$1, 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 MATCH(orders!$D108, products!$A$1:$A$49, 0), MATCH(orders!I$1, products!$A$1:$G$1, 0))</f>
        <v>Exc</v>
      </c>
      <c r="J108" t="str">
        <f>INDEX(products!$A$1:$G$49, MATCH(orders!$D108, products!$A$1:$A$49, 0), MATCH(orders!J$1, products!$A$1:$G$1, 0))</f>
        <v>D</v>
      </c>
      <c r="K108" s="4">
        <f>INDEX(products!$A$1:$G$49, MATCH(orders!$D108, products!$A$1:$A$49, 0), MATCH(orders!K$1, products!$A$1:$G$1, 0))</f>
        <v>1</v>
      </c>
      <c r="L108" s="5">
        <f>INDEX(products!$A$1:$G$49, MATCH(orders!$D108, products!$A$1:$A$49, 0), MATCH(orders!L$1, products!$A$1:$G$1, 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 MATCH(orders!$D109, products!$A$1:$A$49, 0), MATCH(orders!I$1, products!$A$1:$G$1, 0))</f>
        <v>Rob</v>
      </c>
      <c r="J109" t="str">
        <f>INDEX(products!$A$1:$G$49, MATCH(orders!$D109, products!$A$1:$A$49, 0), MATCH(orders!J$1, products!$A$1:$G$1, 0))</f>
        <v>M</v>
      </c>
      <c r="K109" s="4">
        <f>INDEX(products!$A$1:$G$49, MATCH(orders!$D109, products!$A$1:$A$49, 0), MATCH(orders!K$1, products!$A$1:$G$1, 0))</f>
        <v>0.5</v>
      </c>
      <c r="L109" s="5">
        <f>INDEX(products!$A$1:$G$49, MATCH(orders!$D109, products!$A$1:$A$49, 0), MATCH(orders!L$1, products!$A$1:$G$1, 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 MATCH(orders!$D110, products!$A$1:$A$49, 0), MATCH(orders!I$1, products!$A$1:$G$1, 0))</f>
        <v>Ara</v>
      </c>
      <c r="J110" t="str">
        <f>INDEX(products!$A$1:$G$49, MATCH(orders!$D110, products!$A$1:$A$49, 0), MATCH(orders!J$1, products!$A$1:$G$1, 0))</f>
        <v>M</v>
      </c>
      <c r="K110" s="4">
        <f>INDEX(products!$A$1:$G$49, MATCH(orders!$D110, products!$A$1:$A$49, 0), MATCH(orders!K$1, products!$A$1:$G$1, 0))</f>
        <v>0.5</v>
      </c>
      <c r="L110" s="5">
        <f>INDEX(products!$A$1:$G$49, MATCH(orders!$D110, products!$A$1:$A$49, 0), MATCH(orders!L$1, products!$A$1:$G$1, 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 MATCH(orders!$D111, products!$A$1:$A$49, 0), MATCH(orders!I$1, products!$A$1:$G$1, 0))</f>
        <v>Lib</v>
      </c>
      <c r="J111" t="str">
        <f>INDEX(products!$A$1:$G$49, MATCH(orders!$D111, products!$A$1:$A$49, 0), MATCH(orders!J$1, products!$A$1:$G$1, 0))</f>
        <v>D</v>
      </c>
      <c r="K111" s="4">
        <f>INDEX(products!$A$1:$G$49, MATCH(orders!$D111, products!$A$1:$A$49, 0), MATCH(orders!K$1, products!$A$1:$G$1, 0))</f>
        <v>0.5</v>
      </c>
      <c r="L111" s="5">
        <f>INDEX(products!$A$1:$G$49, MATCH(orders!$D111, products!$A$1:$A$49, 0), MATCH(orders!L$1, products!$A$1:$G$1, 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 MATCH(orders!$D112, products!$A$1:$A$49, 0), MATCH(orders!I$1, products!$A$1:$G$1, 0))</f>
        <v>Exc</v>
      </c>
      <c r="J112" t="str">
        <f>INDEX(products!$A$1:$G$49, MATCH(orders!$D112, products!$A$1:$A$49, 0), MATCH(orders!J$1, products!$A$1:$G$1, 0))</f>
        <v>L</v>
      </c>
      <c r="K112" s="4">
        <f>INDEX(products!$A$1:$G$49, MATCH(orders!$D112, products!$A$1:$A$49, 0), MATCH(orders!K$1, products!$A$1:$G$1, 0))</f>
        <v>0.2</v>
      </c>
      <c r="L112" s="5">
        <f>INDEX(products!$A$1:$G$49, MATCH(orders!$D112, products!$A$1:$A$49, 0), MATCH(orders!L$1, products!$A$1:$G$1, 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 MATCH(orders!$D113, products!$A$1:$A$49, 0), MATCH(orders!I$1, products!$A$1:$G$1, 0))</f>
        <v>Rob</v>
      </c>
      <c r="J113" t="str">
        <f>INDEX(products!$A$1:$G$49, MATCH(orders!$D113, products!$A$1:$A$49, 0), MATCH(orders!J$1, products!$A$1:$G$1, 0))</f>
        <v>D</v>
      </c>
      <c r="K113" s="4">
        <f>INDEX(products!$A$1:$G$49, MATCH(orders!$D113, products!$A$1:$A$49, 0), MATCH(orders!K$1, products!$A$1:$G$1, 0))</f>
        <v>0.5</v>
      </c>
      <c r="L113" s="5">
        <f>INDEX(products!$A$1:$G$49, MATCH(orders!$D113, products!$A$1:$A$49, 0), MATCH(orders!L$1, products!$A$1:$G$1, 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 MATCH(orders!$D114, products!$A$1:$A$49, 0), MATCH(orders!I$1, products!$A$1:$G$1, 0))</f>
        <v>Ara</v>
      </c>
      <c r="J114" t="str">
        <f>INDEX(products!$A$1:$G$49, MATCH(orders!$D114, products!$A$1:$A$49, 0), MATCH(orders!J$1, products!$A$1:$G$1, 0))</f>
        <v>M</v>
      </c>
      <c r="K114" s="4">
        <f>INDEX(products!$A$1:$G$49, MATCH(orders!$D114, products!$A$1:$A$49, 0), MATCH(orders!K$1, products!$A$1:$G$1, 0))</f>
        <v>1</v>
      </c>
      <c r="L114" s="5">
        <f>INDEX(products!$A$1:$G$49, MATCH(orders!$D114, products!$A$1:$A$49, 0), MATCH(orders!L$1, products!$A$1:$G$1, 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 MATCH(orders!$D115, products!$A$1:$A$49, 0), MATCH(orders!I$1, products!$A$1:$G$1, 0))</f>
        <v>Lib</v>
      </c>
      <c r="J115" t="str">
        <f>INDEX(products!$A$1:$G$49, MATCH(orders!$D115, products!$A$1:$A$49, 0), MATCH(orders!J$1, products!$A$1:$G$1, 0))</f>
        <v>M</v>
      </c>
      <c r="K115" s="4">
        <f>INDEX(products!$A$1:$G$49, MATCH(orders!$D115, products!$A$1:$A$49, 0), MATCH(orders!K$1, products!$A$1:$G$1, 0))</f>
        <v>1</v>
      </c>
      <c r="L115" s="5">
        <f>INDEX(products!$A$1:$G$49, MATCH(orders!$D115, products!$A$1:$A$49, 0), MATCH(orders!L$1, products!$A$1:$G$1, 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 MATCH(orders!$D116, products!$A$1:$A$49, 0), MATCH(orders!I$1, products!$A$1:$G$1, 0))</f>
        <v>Rob</v>
      </c>
      <c r="J116" t="str">
        <f>INDEX(products!$A$1:$G$49, MATCH(orders!$D116, products!$A$1:$A$49, 0), MATCH(orders!J$1, products!$A$1:$G$1, 0))</f>
        <v>L</v>
      </c>
      <c r="K116" s="4">
        <f>INDEX(products!$A$1:$G$49, MATCH(orders!$D116, products!$A$1:$A$49, 0), MATCH(orders!K$1, products!$A$1:$G$1, 0))</f>
        <v>0.2</v>
      </c>
      <c r="L116" s="5">
        <f>INDEX(products!$A$1:$G$49, MATCH(orders!$D116, products!$A$1:$A$49, 0), MATCH(orders!L$1, products!$A$1:$G$1, 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 MATCH(orders!$D117, products!$A$1:$A$49, 0), MATCH(orders!I$1, products!$A$1:$G$1, 0))</f>
        <v>Lib</v>
      </c>
      <c r="J117" t="str">
        <f>INDEX(products!$A$1:$G$49, MATCH(orders!$D117, products!$A$1:$A$49, 0), MATCH(orders!J$1, products!$A$1:$G$1, 0))</f>
        <v>L</v>
      </c>
      <c r="K117" s="4">
        <f>INDEX(products!$A$1:$G$49, MATCH(orders!$D117, products!$A$1:$A$49, 0), MATCH(orders!K$1, products!$A$1:$G$1, 0))</f>
        <v>1</v>
      </c>
      <c r="L117" s="5">
        <f>INDEX(products!$A$1:$G$49, MATCH(orders!$D117, products!$A$1:$A$49, 0), MATCH(orders!L$1, products!$A$1:$G$1, 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 MATCH(orders!$D118, products!$A$1:$A$49, 0), MATCH(orders!I$1, products!$A$1:$G$1, 0))</f>
        <v>Lib</v>
      </c>
      <c r="J118" t="str">
        <f>INDEX(products!$A$1:$G$49, MATCH(orders!$D118, products!$A$1:$A$49, 0), MATCH(orders!J$1, products!$A$1:$G$1, 0))</f>
        <v>L</v>
      </c>
      <c r="K118" s="4">
        <f>INDEX(products!$A$1:$G$49, MATCH(orders!$D118, products!$A$1:$A$49, 0), MATCH(orders!K$1, products!$A$1:$G$1, 0))</f>
        <v>0.2</v>
      </c>
      <c r="L118" s="5">
        <f>INDEX(products!$A$1:$G$49, MATCH(orders!$D118, products!$A$1:$A$49, 0), MATCH(orders!L$1, products!$A$1:$G$1, 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 MATCH(orders!$D119, products!$A$1:$A$49, 0), MATCH(orders!I$1, products!$A$1:$G$1, 0))</f>
        <v>Lib</v>
      </c>
      <c r="J119" t="str">
        <f>INDEX(products!$A$1:$G$49, MATCH(orders!$D119, products!$A$1:$A$49, 0), MATCH(orders!J$1, products!$A$1:$G$1, 0))</f>
        <v>L</v>
      </c>
      <c r="K119" s="4">
        <f>INDEX(products!$A$1:$G$49, MATCH(orders!$D119, products!$A$1:$A$49, 0), MATCH(orders!K$1, products!$A$1:$G$1, 0))</f>
        <v>0.5</v>
      </c>
      <c r="L119" s="5">
        <f>INDEX(products!$A$1:$G$49, MATCH(orders!$D119, products!$A$1:$A$49, 0), MATCH(orders!L$1, products!$A$1:$G$1, 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 MATCH(orders!$D120, products!$A$1:$A$49, 0), MATCH(orders!I$1, products!$A$1:$G$1, 0))</f>
        <v>Exc</v>
      </c>
      <c r="J120" t="str">
        <f>INDEX(products!$A$1:$G$49, MATCH(orders!$D120, products!$A$1:$A$49, 0), MATCH(orders!J$1, products!$A$1:$G$1, 0))</f>
        <v>D</v>
      </c>
      <c r="K120" s="4">
        <f>INDEX(products!$A$1:$G$49, MATCH(orders!$D120, products!$A$1:$A$49, 0), MATCH(orders!K$1, products!$A$1:$G$1, 0))</f>
        <v>0.5</v>
      </c>
      <c r="L120" s="5">
        <f>INDEX(products!$A$1:$G$49, MATCH(orders!$D120, products!$A$1:$A$49, 0), MATCH(orders!L$1, products!$A$1:$G$1, 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 MATCH(orders!$D121, products!$A$1:$A$49, 0), MATCH(orders!I$1, products!$A$1:$G$1, 0))</f>
        <v>Exc</v>
      </c>
      <c r="J121" t="str">
        <f>INDEX(products!$A$1:$G$49, MATCH(orders!$D121, products!$A$1:$A$49, 0), MATCH(orders!J$1, products!$A$1:$G$1, 0))</f>
        <v>M</v>
      </c>
      <c r="K121" s="4">
        <f>INDEX(products!$A$1:$G$49, MATCH(orders!$D121, products!$A$1:$A$49, 0), MATCH(orders!K$1, products!$A$1:$G$1, 0))</f>
        <v>0.2</v>
      </c>
      <c r="L121" s="5">
        <f>INDEX(products!$A$1:$G$49, MATCH(orders!$D121, products!$A$1:$A$49, 0), MATCH(orders!L$1, products!$A$1:$G$1, 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 MATCH(orders!$D122, products!$A$1:$A$49, 0), MATCH(orders!I$1, products!$A$1:$G$1, 0))</f>
        <v>Ara</v>
      </c>
      <c r="J122" t="str">
        <f>INDEX(products!$A$1:$G$49, MATCH(orders!$D122, products!$A$1:$A$49, 0), MATCH(orders!J$1, products!$A$1:$G$1, 0))</f>
        <v>L</v>
      </c>
      <c r="K122" s="4">
        <f>INDEX(products!$A$1:$G$49, MATCH(orders!$D122, products!$A$1:$A$49, 0), MATCH(orders!K$1, products!$A$1:$G$1, 0))</f>
        <v>0.2</v>
      </c>
      <c r="L122" s="5">
        <f>INDEX(products!$A$1:$G$49, MATCH(orders!$D122, products!$A$1:$A$49, 0), MATCH(orders!L$1, products!$A$1:$G$1, 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 MATCH(orders!$D123, products!$A$1:$A$49, 0), MATCH(orders!I$1, products!$A$1:$G$1, 0))</f>
        <v>Exc</v>
      </c>
      <c r="J123" t="str">
        <f>INDEX(products!$A$1:$G$49, MATCH(orders!$D123, products!$A$1:$A$49, 0), MATCH(orders!J$1, products!$A$1:$G$1, 0))</f>
        <v>M</v>
      </c>
      <c r="K123" s="4">
        <f>INDEX(products!$A$1:$G$49, MATCH(orders!$D123, products!$A$1:$A$49, 0), MATCH(orders!K$1, products!$A$1:$G$1, 0))</f>
        <v>1</v>
      </c>
      <c r="L123" s="5">
        <f>INDEX(products!$A$1:$G$49, MATCH(orders!$D123, products!$A$1:$A$49, 0), MATCH(orders!L$1, products!$A$1:$G$1, 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 MATCH(orders!$D124, products!$A$1:$A$49, 0), MATCH(orders!I$1, products!$A$1:$G$1, 0))</f>
        <v>Ara</v>
      </c>
      <c r="J124" t="str">
        <f>INDEX(products!$A$1:$G$49, MATCH(orders!$D124, products!$A$1:$A$49, 0), MATCH(orders!J$1, products!$A$1:$G$1, 0))</f>
        <v>D</v>
      </c>
      <c r="K124" s="4">
        <f>INDEX(products!$A$1:$G$49, MATCH(orders!$D124, products!$A$1:$A$49, 0), MATCH(orders!K$1, products!$A$1:$G$1, 0))</f>
        <v>0.5</v>
      </c>
      <c r="L124" s="5">
        <f>INDEX(products!$A$1:$G$49, MATCH(orders!$D124, products!$A$1:$A$49, 0), MATCH(orders!L$1, products!$A$1:$G$1, 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 MATCH(orders!$D125, products!$A$1:$A$49, 0), MATCH(orders!I$1, products!$A$1:$G$1, 0))</f>
        <v>Lib</v>
      </c>
      <c r="J125" t="str">
        <f>INDEX(products!$A$1:$G$49, MATCH(orders!$D125, products!$A$1:$A$49, 0), MATCH(orders!J$1, products!$A$1:$G$1, 0))</f>
        <v>L</v>
      </c>
      <c r="K125" s="4">
        <f>INDEX(products!$A$1:$G$49, MATCH(orders!$D125, products!$A$1:$A$49, 0), MATCH(orders!K$1, products!$A$1:$G$1, 0))</f>
        <v>2.5</v>
      </c>
      <c r="L125" s="5">
        <f>INDEX(products!$A$1:$G$49, MATCH(orders!$D125, products!$A$1:$A$49, 0), MATCH(orders!L$1, products!$A$1:$G$1, 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 MATCH(orders!$D126, products!$A$1:$A$49, 0), MATCH(orders!I$1, products!$A$1:$G$1, 0))</f>
        <v>Lib</v>
      </c>
      <c r="J126" t="str">
        <f>INDEX(products!$A$1:$G$49, MATCH(orders!$D126, products!$A$1:$A$49, 0), MATCH(orders!J$1, products!$A$1:$G$1, 0))</f>
        <v>M</v>
      </c>
      <c r="K126" s="4">
        <f>INDEX(products!$A$1:$G$49, MATCH(orders!$D126, products!$A$1:$A$49, 0), MATCH(orders!K$1, products!$A$1:$G$1, 0))</f>
        <v>0.2</v>
      </c>
      <c r="L126" s="5">
        <f>INDEX(products!$A$1:$G$49, MATCH(orders!$D126, products!$A$1:$A$49, 0), MATCH(orders!L$1, products!$A$1:$G$1, 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 MATCH(orders!$D127, products!$A$1:$A$49, 0), MATCH(orders!I$1, products!$A$1:$G$1, 0))</f>
        <v>Lib</v>
      </c>
      <c r="J127" t="str">
        <f>INDEX(products!$A$1:$G$49, MATCH(orders!$D127, products!$A$1:$A$49, 0), MATCH(orders!J$1, products!$A$1:$G$1, 0))</f>
        <v>M</v>
      </c>
      <c r="K127" s="4">
        <f>INDEX(products!$A$1:$G$49, MATCH(orders!$D127, products!$A$1:$A$49, 0), MATCH(orders!K$1, products!$A$1:$G$1, 0))</f>
        <v>0.5</v>
      </c>
      <c r="L127" s="5">
        <f>INDEX(products!$A$1:$G$49, MATCH(orders!$D127, products!$A$1:$A$49, 0), MATCH(orders!L$1, products!$A$1:$G$1, 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 MATCH(orders!$D128, products!$A$1:$A$49, 0), MATCH(orders!I$1, products!$A$1:$G$1, 0))</f>
        <v>Ara</v>
      </c>
      <c r="J128" t="str">
        <f>INDEX(products!$A$1:$G$49, MATCH(orders!$D128, products!$A$1:$A$49, 0), MATCH(orders!J$1, products!$A$1:$G$1, 0))</f>
        <v>M</v>
      </c>
      <c r="K128" s="4">
        <f>INDEX(products!$A$1:$G$49, MATCH(orders!$D128, products!$A$1:$A$49, 0), MATCH(orders!K$1, products!$A$1:$G$1, 0))</f>
        <v>1</v>
      </c>
      <c r="L128" s="5">
        <f>INDEX(products!$A$1:$G$49, MATCH(orders!$D128, products!$A$1:$A$49, 0), MATCH(orders!L$1, products!$A$1:$G$1, 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 MATCH(orders!$D129, products!$A$1:$A$49, 0), MATCH(orders!I$1, products!$A$1:$G$1, 0))</f>
        <v>Lib</v>
      </c>
      <c r="J129" t="str">
        <f>INDEX(products!$A$1:$G$49, MATCH(orders!$D129, products!$A$1:$A$49, 0), MATCH(orders!J$1, products!$A$1:$G$1, 0))</f>
        <v>D</v>
      </c>
      <c r="K129" s="4">
        <f>INDEX(products!$A$1:$G$49, MATCH(orders!$D129, products!$A$1:$A$49, 0), MATCH(orders!K$1, products!$A$1:$G$1, 0))</f>
        <v>1</v>
      </c>
      <c r="L129" s="5">
        <f>INDEX(products!$A$1:$G$49, MATCH(orders!$D129, products!$A$1:$A$49, 0), MATCH(orders!L$1, products!$A$1:$G$1, 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 MATCH(orders!$D130, products!$A$1:$A$49, 0), MATCH(orders!I$1, products!$A$1:$G$1, 0))</f>
        <v>Ara</v>
      </c>
      <c r="J130" t="str">
        <f>INDEX(products!$A$1:$G$49, MATCH(orders!$D130, products!$A$1:$A$49, 0), MATCH(orders!J$1, products!$A$1:$G$1, 0))</f>
        <v>M</v>
      </c>
      <c r="K130" s="4">
        <f>INDEX(products!$A$1:$G$49, MATCH(orders!$D130, products!$A$1:$A$49, 0), MATCH(orders!K$1, products!$A$1:$G$1, 0))</f>
        <v>0.5</v>
      </c>
      <c r="L130" s="5">
        <f>INDEX(products!$A$1:$G$49, MATCH(orders!$D130, products!$A$1:$A$49, 0), MATCH(orders!L$1, products!$A$1:$G$1, 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 MATCH(orders!$D131, products!$A$1:$A$49, 0), MATCH(orders!I$1, products!$A$1:$G$1, 0))</f>
        <v>Exc</v>
      </c>
      <c r="J131" t="str">
        <f>INDEX(products!$A$1:$G$49, MATCH(orders!$D131, products!$A$1:$A$49, 0), MATCH(orders!J$1, products!$A$1:$G$1, 0))</f>
        <v>D</v>
      </c>
      <c r="K131" s="4">
        <f>INDEX(products!$A$1:$G$49, MATCH(orders!$D131, products!$A$1:$A$49, 0), MATCH(orders!K$1, products!$A$1:$G$1, 0))</f>
        <v>1</v>
      </c>
      <c r="L131" s="5">
        <f>INDEX(products!$A$1:$G$49, MATCH(orders!$D131, products!$A$1:$A$49, 0), MATCH(orders!L$1, products!$A$1:$G$1, 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 MATCH(orders!$D132, products!$A$1:$A$49, 0), MATCH(orders!I$1, products!$A$1:$G$1, 0))</f>
        <v>Ara</v>
      </c>
      <c r="J132" t="str">
        <f>INDEX(products!$A$1:$G$49, MATCH(orders!$D132, products!$A$1:$A$49, 0), MATCH(orders!J$1, products!$A$1:$G$1, 0))</f>
        <v>L</v>
      </c>
      <c r="K132" s="4">
        <f>INDEX(products!$A$1:$G$49, MATCH(orders!$D132, products!$A$1:$A$49, 0), MATCH(orders!K$1, products!$A$1:$G$1, 0))</f>
        <v>2.5</v>
      </c>
      <c r="L132" s="5">
        <f>INDEX(products!$A$1:$G$49, MATCH(orders!$D132, products!$A$1:$A$49, 0), MATCH(orders!L$1, products!$A$1:$G$1, 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 MATCH(orders!$D133, products!$A$1:$A$49, 0), MATCH(orders!I$1, products!$A$1:$G$1, 0))</f>
        <v>Exc</v>
      </c>
      <c r="J133" t="str">
        <f>INDEX(products!$A$1:$G$49, MATCH(orders!$D133, products!$A$1:$A$49, 0), MATCH(orders!J$1, products!$A$1:$G$1, 0))</f>
        <v>D</v>
      </c>
      <c r="K133" s="4">
        <f>INDEX(products!$A$1:$G$49, MATCH(orders!$D133, products!$A$1:$A$49, 0), MATCH(orders!K$1, products!$A$1:$G$1, 0))</f>
        <v>0.5</v>
      </c>
      <c r="L133" s="5">
        <f>INDEX(products!$A$1:$G$49, MATCH(orders!$D133, products!$A$1:$A$49, 0), MATCH(orders!L$1, products!$A$1:$G$1, 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 MATCH(orders!$D134, products!$A$1:$A$49, 0), MATCH(orders!I$1, products!$A$1:$G$1, 0))</f>
        <v>Ara</v>
      </c>
      <c r="J134" t="str">
        <f>INDEX(products!$A$1:$G$49, MATCH(orders!$D134, products!$A$1:$A$49, 0), MATCH(orders!J$1, products!$A$1:$G$1, 0))</f>
        <v>L</v>
      </c>
      <c r="K134" s="4">
        <f>INDEX(products!$A$1:$G$49, MATCH(orders!$D134, products!$A$1:$A$49, 0), MATCH(orders!K$1, products!$A$1:$G$1, 0))</f>
        <v>2.5</v>
      </c>
      <c r="L134" s="5">
        <f>INDEX(products!$A$1:$G$49, MATCH(orders!$D134, products!$A$1:$A$49, 0), MATCH(orders!L$1, products!$A$1:$G$1, 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 MATCH(orders!$D135, products!$A$1:$A$49, 0), MATCH(orders!I$1, products!$A$1:$G$1, 0))</f>
        <v>Lib</v>
      </c>
      <c r="J135" t="str">
        <f>INDEX(products!$A$1:$G$49, MATCH(orders!$D135, products!$A$1:$A$49, 0), MATCH(orders!J$1, products!$A$1:$G$1, 0))</f>
        <v>D</v>
      </c>
      <c r="K135" s="4">
        <f>INDEX(products!$A$1:$G$49, MATCH(orders!$D135, products!$A$1:$A$49, 0), MATCH(orders!K$1, products!$A$1:$G$1, 0))</f>
        <v>1</v>
      </c>
      <c r="L135" s="5">
        <f>INDEX(products!$A$1:$G$49, MATCH(orders!$D135, products!$A$1:$A$49, 0), MATCH(orders!L$1, products!$A$1:$G$1, 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 MATCH(orders!$D136, products!$A$1:$A$49, 0), MATCH(orders!I$1, products!$A$1:$G$1, 0))</f>
        <v>Exc</v>
      </c>
      <c r="J136" t="str">
        <f>INDEX(products!$A$1:$G$49, MATCH(orders!$D136, products!$A$1:$A$49, 0), MATCH(orders!J$1, products!$A$1:$G$1, 0))</f>
        <v>M</v>
      </c>
      <c r="K136" s="4">
        <f>INDEX(products!$A$1:$G$49, MATCH(orders!$D136, products!$A$1:$A$49, 0), MATCH(orders!K$1, products!$A$1:$G$1, 0))</f>
        <v>2.5</v>
      </c>
      <c r="L136" s="5">
        <f>INDEX(products!$A$1:$G$49, MATCH(orders!$D136, products!$A$1:$A$49, 0), MATCH(orders!L$1, products!$A$1:$G$1, 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 MATCH(orders!$D137, products!$A$1:$A$49, 0), MATCH(orders!I$1, products!$A$1:$G$1, 0))</f>
        <v>Ara</v>
      </c>
      <c r="J137" t="str">
        <f>INDEX(products!$A$1:$G$49, MATCH(orders!$D137, products!$A$1:$A$49, 0), MATCH(orders!J$1, products!$A$1:$G$1, 0))</f>
        <v>L</v>
      </c>
      <c r="K137" s="4">
        <f>INDEX(products!$A$1:$G$49, MATCH(orders!$D137, products!$A$1:$A$49, 0), MATCH(orders!K$1, products!$A$1:$G$1, 0))</f>
        <v>0.5</v>
      </c>
      <c r="L137" s="5">
        <f>INDEX(products!$A$1:$G$49, MATCH(orders!$D137, products!$A$1:$A$49, 0), MATCH(orders!L$1, products!$A$1:$G$1, 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 MATCH(orders!$D138, products!$A$1:$A$49, 0), MATCH(orders!I$1, products!$A$1:$G$1, 0))</f>
        <v>Ara</v>
      </c>
      <c r="J138" t="str">
        <f>INDEX(products!$A$1:$G$49, MATCH(orders!$D138, products!$A$1:$A$49, 0), MATCH(orders!J$1, products!$A$1:$G$1, 0))</f>
        <v>D</v>
      </c>
      <c r="K138" s="4">
        <f>INDEX(products!$A$1:$G$49, MATCH(orders!$D138, products!$A$1:$A$49, 0), MATCH(orders!K$1, products!$A$1:$G$1, 0))</f>
        <v>0.2</v>
      </c>
      <c r="L138" s="5">
        <f>INDEX(products!$A$1:$G$49, MATCH(orders!$D138, products!$A$1:$A$49, 0), MATCH(orders!L$1, products!$A$1:$G$1, 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 MATCH(orders!$D139, products!$A$1:$A$49, 0), MATCH(orders!I$1, products!$A$1:$G$1, 0))</f>
        <v>Exc</v>
      </c>
      <c r="J139" t="str">
        <f>INDEX(products!$A$1:$G$49, MATCH(orders!$D139, products!$A$1:$A$49, 0), MATCH(orders!J$1, products!$A$1:$G$1, 0))</f>
        <v>L</v>
      </c>
      <c r="K139" s="4">
        <f>INDEX(products!$A$1:$G$49, MATCH(orders!$D139, products!$A$1:$A$49, 0), MATCH(orders!K$1, products!$A$1:$G$1, 0))</f>
        <v>2.5</v>
      </c>
      <c r="L139" s="5">
        <f>INDEX(products!$A$1:$G$49, MATCH(orders!$D139, products!$A$1:$A$49, 0), MATCH(orders!L$1, products!$A$1:$G$1, 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 MATCH(orders!$D140, products!$A$1:$A$49, 0), MATCH(orders!I$1, products!$A$1:$G$1, 0))</f>
        <v>Exc</v>
      </c>
      <c r="J140" t="str">
        <f>INDEX(products!$A$1:$G$49, MATCH(orders!$D140, products!$A$1:$A$49, 0), MATCH(orders!J$1, products!$A$1:$G$1, 0))</f>
        <v>D</v>
      </c>
      <c r="K140" s="4">
        <f>INDEX(products!$A$1:$G$49, MATCH(orders!$D140, products!$A$1:$A$49, 0), MATCH(orders!K$1, products!$A$1:$G$1, 0))</f>
        <v>1</v>
      </c>
      <c r="L140" s="5">
        <f>INDEX(products!$A$1:$G$49, MATCH(orders!$D140, products!$A$1:$A$49, 0), MATCH(orders!L$1, products!$A$1:$G$1, 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 MATCH(orders!$D141, products!$A$1:$A$49, 0), MATCH(orders!I$1, products!$A$1:$G$1, 0))</f>
        <v>Lib</v>
      </c>
      <c r="J141" t="str">
        <f>INDEX(products!$A$1:$G$49, MATCH(orders!$D141, products!$A$1:$A$49, 0), MATCH(orders!J$1, products!$A$1:$G$1, 0))</f>
        <v>D</v>
      </c>
      <c r="K141" s="4">
        <f>INDEX(products!$A$1:$G$49, MATCH(orders!$D141, products!$A$1:$A$49, 0), MATCH(orders!K$1, products!$A$1:$G$1, 0))</f>
        <v>1</v>
      </c>
      <c r="L141" s="5">
        <f>INDEX(products!$A$1:$G$49, MATCH(orders!$D141, products!$A$1:$A$49, 0), MATCH(orders!L$1, products!$A$1:$G$1, 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 MATCH(orders!$D142, products!$A$1:$A$49, 0), MATCH(orders!I$1, products!$A$1:$G$1, 0))</f>
        <v>Lib</v>
      </c>
      <c r="J142" t="str">
        <f>INDEX(products!$A$1:$G$49, MATCH(orders!$D142, products!$A$1:$A$49, 0), MATCH(orders!J$1, products!$A$1:$G$1, 0))</f>
        <v>D</v>
      </c>
      <c r="K142" s="4">
        <f>INDEX(products!$A$1:$G$49, MATCH(orders!$D142, products!$A$1:$A$49, 0), MATCH(orders!K$1, products!$A$1:$G$1, 0))</f>
        <v>2.5</v>
      </c>
      <c r="L142" s="5">
        <f>INDEX(products!$A$1:$G$49, MATCH(orders!$D142, products!$A$1:$A$49, 0), MATCH(orders!L$1, products!$A$1:$G$1, 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 MATCH(orders!$D143, products!$A$1:$A$49, 0), MATCH(orders!I$1, products!$A$1:$G$1, 0))</f>
        <v>Ara</v>
      </c>
      <c r="J143" t="str">
        <f>INDEX(products!$A$1:$G$49, MATCH(orders!$D143, products!$A$1:$A$49, 0), MATCH(orders!J$1, products!$A$1:$G$1, 0))</f>
        <v>L</v>
      </c>
      <c r="K143" s="4">
        <f>INDEX(products!$A$1:$G$49, MATCH(orders!$D143, products!$A$1:$A$49, 0), MATCH(orders!K$1, products!$A$1:$G$1, 0))</f>
        <v>0.2</v>
      </c>
      <c r="L143" s="5">
        <f>INDEX(products!$A$1:$G$49, MATCH(orders!$D143, products!$A$1:$A$49, 0), MATCH(orders!L$1, products!$A$1:$G$1, 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 MATCH(orders!$D144, products!$A$1:$A$49, 0), MATCH(orders!I$1, products!$A$1:$G$1, 0))</f>
        <v>Exc</v>
      </c>
      <c r="J144" t="str">
        <f>INDEX(products!$A$1:$G$49, MATCH(orders!$D144, products!$A$1:$A$49, 0), MATCH(orders!J$1, products!$A$1:$G$1, 0))</f>
        <v>L</v>
      </c>
      <c r="K144" s="4">
        <f>INDEX(products!$A$1:$G$49, MATCH(orders!$D144, products!$A$1:$A$49, 0), MATCH(orders!K$1, products!$A$1:$G$1, 0))</f>
        <v>2.5</v>
      </c>
      <c r="L144" s="5">
        <f>INDEX(products!$A$1:$G$49, MATCH(orders!$D144, products!$A$1:$A$49, 0), MATCH(orders!L$1, products!$A$1:$G$1, 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 MATCH(orders!$D145, products!$A$1:$A$49, 0), MATCH(orders!I$1, products!$A$1:$G$1, 0))</f>
        <v>Lib</v>
      </c>
      <c r="J145" t="str">
        <f>INDEX(products!$A$1:$G$49, MATCH(orders!$D145, products!$A$1:$A$49, 0), MATCH(orders!J$1, products!$A$1:$G$1, 0))</f>
        <v>M</v>
      </c>
      <c r="K145" s="4">
        <f>INDEX(products!$A$1:$G$49, MATCH(orders!$D145, products!$A$1:$A$49, 0), MATCH(orders!K$1, products!$A$1:$G$1, 0))</f>
        <v>0.5</v>
      </c>
      <c r="L145" s="5">
        <f>INDEX(products!$A$1:$G$49, MATCH(orders!$D145, products!$A$1:$A$49, 0), MATCH(orders!L$1, products!$A$1:$G$1, 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 MATCH(orders!$D146, products!$A$1:$A$49, 0), MATCH(orders!I$1, products!$A$1:$G$1, 0))</f>
        <v>Exc</v>
      </c>
      <c r="J146" t="str">
        <f>INDEX(products!$A$1:$G$49, MATCH(orders!$D146, products!$A$1:$A$49, 0), MATCH(orders!J$1, products!$A$1:$G$1, 0))</f>
        <v>L</v>
      </c>
      <c r="K146" s="4">
        <f>INDEX(products!$A$1:$G$49, MATCH(orders!$D146, products!$A$1:$A$49, 0), MATCH(orders!K$1, products!$A$1:$G$1, 0))</f>
        <v>2.5</v>
      </c>
      <c r="L146" s="5">
        <f>INDEX(products!$A$1:$G$49, MATCH(orders!$D146, products!$A$1:$A$49, 0), MATCH(orders!L$1, products!$A$1:$G$1, 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 MATCH(orders!$D147, products!$A$1:$A$49, 0), MATCH(orders!I$1, products!$A$1:$G$1, 0))</f>
        <v>Lib</v>
      </c>
      <c r="J147" t="str">
        <f>INDEX(products!$A$1:$G$49, MATCH(orders!$D147, products!$A$1:$A$49, 0), MATCH(orders!J$1, products!$A$1:$G$1, 0))</f>
        <v>M</v>
      </c>
      <c r="K147" s="4">
        <f>INDEX(products!$A$1:$G$49, MATCH(orders!$D147, products!$A$1:$A$49, 0), MATCH(orders!K$1, products!$A$1:$G$1, 0))</f>
        <v>0.2</v>
      </c>
      <c r="L147" s="5">
        <f>INDEX(products!$A$1:$G$49, MATCH(orders!$D147, products!$A$1:$A$49, 0), MATCH(orders!L$1, products!$A$1:$G$1, 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 MATCH(orders!$D148, products!$A$1:$A$49, 0), MATCH(orders!I$1, products!$A$1:$G$1, 0))</f>
        <v>Lib</v>
      </c>
      <c r="J148" t="str">
        <f>INDEX(products!$A$1:$G$49, MATCH(orders!$D148, products!$A$1:$A$49, 0), MATCH(orders!J$1, products!$A$1:$G$1, 0))</f>
        <v>M</v>
      </c>
      <c r="K148" s="4">
        <f>INDEX(products!$A$1:$G$49, MATCH(orders!$D148, products!$A$1:$A$49, 0), MATCH(orders!K$1, products!$A$1:$G$1, 0))</f>
        <v>1</v>
      </c>
      <c r="L148" s="5">
        <f>INDEX(products!$A$1:$G$49, MATCH(orders!$D148, products!$A$1:$A$49, 0), MATCH(orders!L$1, products!$A$1:$G$1, 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 MATCH(orders!$D149, products!$A$1:$A$49, 0), MATCH(orders!I$1, products!$A$1:$G$1, 0))</f>
        <v>Exc</v>
      </c>
      <c r="J149" t="str">
        <f>INDEX(products!$A$1:$G$49, MATCH(orders!$D149, products!$A$1:$A$49, 0), MATCH(orders!J$1, products!$A$1:$G$1, 0))</f>
        <v>M</v>
      </c>
      <c r="K149" s="4">
        <f>INDEX(products!$A$1:$G$49, MATCH(orders!$D149, products!$A$1:$A$49, 0), MATCH(orders!K$1, products!$A$1:$G$1, 0))</f>
        <v>1</v>
      </c>
      <c r="L149" s="5">
        <f>INDEX(products!$A$1:$G$49, MATCH(orders!$D149, products!$A$1:$A$49, 0), MATCH(orders!L$1, products!$A$1:$G$1, 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 MATCH(orders!$D150, products!$A$1:$A$49, 0), MATCH(orders!I$1, products!$A$1:$G$1, 0))</f>
        <v>Exc</v>
      </c>
      <c r="J150" t="str">
        <f>INDEX(products!$A$1:$G$49, MATCH(orders!$D150, products!$A$1:$A$49, 0), MATCH(orders!J$1, products!$A$1:$G$1, 0))</f>
        <v>D</v>
      </c>
      <c r="K150" s="4">
        <f>INDEX(products!$A$1:$G$49, MATCH(orders!$D150, products!$A$1:$A$49, 0), MATCH(orders!K$1, products!$A$1:$G$1, 0))</f>
        <v>0.2</v>
      </c>
      <c r="L150" s="5">
        <f>INDEX(products!$A$1:$G$49, MATCH(orders!$D150, products!$A$1:$A$49, 0), MATCH(orders!L$1, products!$A$1:$G$1, 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 MATCH(orders!$D151, products!$A$1:$A$49, 0), MATCH(orders!I$1, products!$A$1:$G$1, 0))</f>
        <v>Ara</v>
      </c>
      <c r="J151" t="str">
        <f>INDEX(products!$A$1:$G$49, MATCH(orders!$D151, products!$A$1:$A$49, 0), MATCH(orders!J$1, products!$A$1:$G$1, 0))</f>
        <v>M</v>
      </c>
      <c r="K151" s="4">
        <f>INDEX(products!$A$1:$G$49, MATCH(orders!$D151, products!$A$1:$A$49, 0), MATCH(orders!K$1, products!$A$1:$G$1, 0))</f>
        <v>2.5</v>
      </c>
      <c r="L151" s="5">
        <f>INDEX(products!$A$1:$G$49, MATCH(orders!$D151, products!$A$1:$A$49, 0), MATCH(orders!L$1, products!$A$1:$G$1, 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 MATCH(orders!$D152, products!$A$1:$A$49, 0), MATCH(orders!I$1, products!$A$1:$G$1, 0))</f>
        <v>Lib</v>
      </c>
      <c r="J152" t="str">
        <f>INDEX(products!$A$1:$G$49, MATCH(orders!$D152, products!$A$1:$A$49, 0), MATCH(orders!J$1, products!$A$1:$G$1, 0))</f>
        <v>D</v>
      </c>
      <c r="K152" s="4">
        <f>INDEX(products!$A$1:$G$49, MATCH(orders!$D152, products!$A$1:$A$49, 0), MATCH(orders!K$1, products!$A$1:$G$1, 0))</f>
        <v>1</v>
      </c>
      <c r="L152" s="5">
        <f>INDEX(products!$A$1:$G$49, MATCH(orders!$D152, products!$A$1:$A$49, 0), MATCH(orders!L$1, products!$A$1:$G$1, 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 MATCH(orders!$D153, products!$A$1:$A$49, 0), MATCH(orders!I$1, products!$A$1:$G$1, 0))</f>
        <v>Ara</v>
      </c>
      <c r="J153" t="str">
        <f>INDEX(products!$A$1:$G$49, MATCH(orders!$D153, products!$A$1:$A$49, 0), MATCH(orders!J$1, products!$A$1:$G$1, 0))</f>
        <v>M</v>
      </c>
      <c r="K153" s="4">
        <f>INDEX(products!$A$1:$G$49, MATCH(orders!$D153, products!$A$1:$A$49, 0), MATCH(orders!K$1, products!$A$1:$G$1, 0))</f>
        <v>1</v>
      </c>
      <c r="L153" s="5">
        <f>INDEX(products!$A$1:$G$49, MATCH(orders!$D153, products!$A$1:$A$49, 0), MATCH(orders!L$1, products!$A$1:$G$1, 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 MATCH(orders!$D154, products!$A$1:$A$49, 0), MATCH(orders!I$1, products!$A$1:$G$1, 0))</f>
        <v>Rob</v>
      </c>
      <c r="J154" t="str">
        <f>INDEX(products!$A$1:$G$49, MATCH(orders!$D154, products!$A$1:$A$49, 0), MATCH(orders!J$1, products!$A$1:$G$1, 0))</f>
        <v>M</v>
      </c>
      <c r="K154" s="4">
        <f>INDEX(products!$A$1:$G$49, MATCH(orders!$D154, products!$A$1:$A$49, 0), MATCH(orders!K$1, products!$A$1:$G$1, 0))</f>
        <v>2.5</v>
      </c>
      <c r="L154" s="5">
        <f>INDEX(products!$A$1:$G$49, MATCH(orders!$D154, products!$A$1:$A$49, 0), MATCH(orders!L$1, products!$A$1:$G$1, 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 MATCH(orders!$D155, products!$A$1:$A$49, 0), MATCH(orders!I$1, products!$A$1:$G$1, 0))</f>
        <v>Rob</v>
      </c>
      <c r="J155" t="str">
        <f>INDEX(products!$A$1:$G$49, MATCH(orders!$D155, products!$A$1:$A$49, 0), MATCH(orders!J$1, products!$A$1:$G$1, 0))</f>
        <v>D</v>
      </c>
      <c r="K155" s="4">
        <f>INDEX(products!$A$1:$G$49, MATCH(orders!$D155, products!$A$1:$A$49, 0), MATCH(orders!K$1, products!$A$1:$G$1, 0))</f>
        <v>0.2</v>
      </c>
      <c r="L155" s="5">
        <f>INDEX(products!$A$1:$G$49, MATCH(orders!$D155, products!$A$1:$A$49, 0), MATCH(orders!L$1, products!$A$1:$G$1, 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 MATCH(orders!$D156, products!$A$1:$A$49, 0), MATCH(orders!I$1, products!$A$1:$G$1, 0))</f>
        <v>Ara</v>
      </c>
      <c r="J156" t="str">
        <f>INDEX(products!$A$1:$G$49, MATCH(orders!$D156, products!$A$1:$A$49, 0), MATCH(orders!J$1, products!$A$1:$G$1, 0))</f>
        <v>D</v>
      </c>
      <c r="K156" s="4">
        <f>INDEX(products!$A$1:$G$49, MATCH(orders!$D156, products!$A$1:$A$49, 0), MATCH(orders!K$1, products!$A$1:$G$1, 0))</f>
        <v>2.5</v>
      </c>
      <c r="L156" s="5">
        <f>INDEX(products!$A$1:$G$49, MATCH(orders!$D156, products!$A$1:$A$49, 0), MATCH(orders!L$1, products!$A$1:$G$1, 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 MATCH(orders!$D157, products!$A$1:$A$49, 0), MATCH(orders!I$1, products!$A$1:$G$1, 0))</f>
        <v>Ara</v>
      </c>
      <c r="J157" t="str">
        <f>INDEX(products!$A$1:$G$49, MATCH(orders!$D157, products!$A$1:$A$49, 0), MATCH(orders!J$1, products!$A$1:$G$1, 0))</f>
        <v>M</v>
      </c>
      <c r="K157" s="4">
        <f>INDEX(products!$A$1:$G$49, MATCH(orders!$D157, products!$A$1:$A$49, 0), MATCH(orders!K$1, products!$A$1:$G$1, 0))</f>
        <v>2.5</v>
      </c>
      <c r="L157" s="5">
        <f>INDEX(products!$A$1:$G$49, MATCH(orders!$D157, products!$A$1:$A$49, 0), MATCH(orders!L$1, products!$A$1:$G$1, 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 MATCH(orders!$D158, products!$A$1:$A$49, 0), MATCH(orders!I$1, products!$A$1:$G$1, 0))</f>
        <v>Ara</v>
      </c>
      <c r="J158" t="str">
        <f>INDEX(products!$A$1:$G$49, MATCH(orders!$D158, products!$A$1:$A$49, 0), MATCH(orders!J$1, products!$A$1:$G$1, 0))</f>
        <v>M</v>
      </c>
      <c r="K158" s="4">
        <f>INDEX(products!$A$1:$G$49, MATCH(orders!$D158, products!$A$1:$A$49, 0), MATCH(orders!K$1, products!$A$1:$G$1, 0))</f>
        <v>2.5</v>
      </c>
      <c r="L158" s="5">
        <f>INDEX(products!$A$1:$G$49, MATCH(orders!$D158, products!$A$1:$A$49, 0), MATCH(orders!L$1, products!$A$1:$G$1, 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 MATCH(orders!$D159, products!$A$1:$A$49, 0), MATCH(orders!I$1, products!$A$1:$G$1, 0))</f>
        <v>Rob</v>
      </c>
      <c r="J159" t="str">
        <f>INDEX(products!$A$1:$G$49, MATCH(orders!$D159, products!$A$1:$A$49, 0), MATCH(orders!J$1, products!$A$1:$G$1, 0))</f>
        <v>D</v>
      </c>
      <c r="K159" s="4">
        <f>INDEX(products!$A$1:$G$49, MATCH(orders!$D159, products!$A$1:$A$49, 0), MATCH(orders!K$1, products!$A$1:$G$1, 0))</f>
        <v>2.5</v>
      </c>
      <c r="L159" s="5">
        <f>INDEX(products!$A$1:$G$49, MATCH(orders!$D159, products!$A$1:$A$49, 0), MATCH(orders!L$1, products!$A$1:$G$1, 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 MATCH(orders!$D160, products!$A$1:$A$49, 0), MATCH(orders!I$1, products!$A$1:$G$1, 0))</f>
        <v>Rob</v>
      </c>
      <c r="J160" t="str">
        <f>INDEX(products!$A$1:$G$49, MATCH(orders!$D160, products!$A$1:$A$49, 0), MATCH(orders!J$1, products!$A$1:$G$1, 0))</f>
        <v>D</v>
      </c>
      <c r="K160" s="4">
        <f>INDEX(products!$A$1:$G$49, MATCH(orders!$D160, products!$A$1:$A$49, 0), MATCH(orders!K$1, products!$A$1:$G$1, 0))</f>
        <v>2.5</v>
      </c>
      <c r="L160" s="5">
        <f>INDEX(products!$A$1:$G$49, MATCH(orders!$D160, products!$A$1:$A$49, 0), MATCH(orders!L$1, products!$A$1:$G$1, 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 MATCH(orders!$D161, products!$A$1:$A$49, 0), MATCH(orders!I$1, products!$A$1:$G$1, 0))</f>
        <v>Lib</v>
      </c>
      <c r="J161" t="str">
        <f>INDEX(products!$A$1:$G$49, MATCH(orders!$D161, products!$A$1:$A$49, 0), MATCH(orders!J$1, products!$A$1:$G$1, 0))</f>
        <v>L</v>
      </c>
      <c r="K161" s="4">
        <f>INDEX(products!$A$1:$G$49, MATCH(orders!$D161, products!$A$1:$A$49, 0), MATCH(orders!K$1, products!$A$1:$G$1, 0))</f>
        <v>2.5</v>
      </c>
      <c r="L161" s="5">
        <f>INDEX(products!$A$1:$G$49, MATCH(orders!$D161, products!$A$1:$A$49, 0), MATCH(orders!L$1, products!$A$1:$G$1, 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 MATCH(orders!$D162, products!$A$1:$A$49, 0), MATCH(orders!I$1, products!$A$1:$G$1, 0))</f>
        <v>Exc</v>
      </c>
      <c r="J162" t="str">
        <f>INDEX(products!$A$1:$G$49, MATCH(orders!$D162, products!$A$1:$A$49, 0), MATCH(orders!J$1, products!$A$1:$G$1, 0))</f>
        <v>M</v>
      </c>
      <c r="K162" s="4">
        <f>INDEX(products!$A$1:$G$49, MATCH(orders!$D162, products!$A$1:$A$49, 0), MATCH(orders!K$1, products!$A$1:$G$1, 0))</f>
        <v>0.5</v>
      </c>
      <c r="L162" s="5">
        <f>INDEX(products!$A$1:$G$49, MATCH(orders!$D162, products!$A$1:$A$49, 0), MATCH(orders!L$1, products!$A$1:$G$1, 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 MATCH(orders!$D163, products!$A$1:$A$49, 0), MATCH(orders!I$1, products!$A$1:$G$1, 0))</f>
        <v>Ara</v>
      </c>
      <c r="J163" t="str">
        <f>INDEX(products!$A$1:$G$49, MATCH(orders!$D163, products!$A$1:$A$49, 0), MATCH(orders!J$1, products!$A$1:$G$1, 0))</f>
        <v>L</v>
      </c>
      <c r="K163" s="4">
        <f>INDEX(products!$A$1:$G$49, MATCH(orders!$D163, products!$A$1:$A$49, 0), MATCH(orders!K$1, products!$A$1:$G$1, 0))</f>
        <v>0.5</v>
      </c>
      <c r="L163" s="5">
        <f>INDEX(products!$A$1:$G$49, MATCH(orders!$D163, products!$A$1:$A$49, 0), MATCH(orders!L$1, products!$A$1:$G$1, 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 MATCH(orders!$D164, products!$A$1:$A$49, 0), MATCH(orders!I$1, products!$A$1:$G$1, 0))</f>
        <v>Exc</v>
      </c>
      <c r="J164" t="str">
        <f>INDEX(products!$A$1:$G$49, MATCH(orders!$D164, products!$A$1:$A$49, 0), MATCH(orders!J$1, products!$A$1:$G$1, 0))</f>
        <v>D</v>
      </c>
      <c r="K164" s="4">
        <f>INDEX(products!$A$1:$G$49, MATCH(orders!$D164, products!$A$1:$A$49, 0), MATCH(orders!K$1, products!$A$1:$G$1, 0))</f>
        <v>0.5</v>
      </c>
      <c r="L164" s="5">
        <f>INDEX(products!$A$1:$G$49, MATCH(orders!$D164, products!$A$1:$A$49, 0), MATCH(orders!L$1, products!$A$1:$G$1, 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 MATCH(orders!$D165, products!$A$1:$A$49, 0), MATCH(orders!I$1, products!$A$1:$G$1, 0))</f>
        <v>Rob</v>
      </c>
      <c r="J165" t="str">
        <f>INDEX(products!$A$1:$G$49, MATCH(orders!$D165, products!$A$1:$A$49, 0), MATCH(orders!J$1, products!$A$1:$G$1, 0))</f>
        <v>D</v>
      </c>
      <c r="K165" s="4">
        <f>INDEX(products!$A$1:$G$49, MATCH(orders!$D165, products!$A$1:$A$49, 0), MATCH(orders!K$1, products!$A$1:$G$1, 0))</f>
        <v>0.2</v>
      </c>
      <c r="L165" s="5">
        <f>INDEX(products!$A$1:$G$49, MATCH(orders!$D165, products!$A$1:$A$49, 0), MATCH(orders!L$1, products!$A$1:$G$1, 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 MATCH(orders!$D166, products!$A$1:$A$49, 0), MATCH(orders!I$1, products!$A$1:$G$1, 0))</f>
        <v>Exc</v>
      </c>
      <c r="J166" t="str">
        <f>INDEX(products!$A$1:$G$49, MATCH(orders!$D166, products!$A$1:$A$49, 0), MATCH(orders!J$1, products!$A$1:$G$1, 0))</f>
        <v>D</v>
      </c>
      <c r="K166" s="4">
        <f>INDEX(products!$A$1:$G$49, MATCH(orders!$D166, products!$A$1:$A$49, 0), MATCH(orders!K$1, products!$A$1:$G$1, 0))</f>
        <v>0.5</v>
      </c>
      <c r="L166" s="5">
        <f>INDEX(products!$A$1:$G$49, MATCH(orders!$D166, products!$A$1:$A$49, 0), MATCH(orders!L$1, products!$A$1:$G$1, 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 MATCH(orders!$D167, products!$A$1:$A$49, 0), MATCH(orders!I$1, products!$A$1:$G$1, 0))</f>
        <v>Rob</v>
      </c>
      <c r="J167" t="str">
        <f>INDEX(products!$A$1:$G$49, MATCH(orders!$D167, products!$A$1:$A$49, 0), MATCH(orders!J$1, products!$A$1:$G$1, 0))</f>
        <v>D</v>
      </c>
      <c r="K167" s="4">
        <f>INDEX(products!$A$1:$G$49, MATCH(orders!$D167, products!$A$1:$A$49, 0), MATCH(orders!K$1, products!$A$1:$G$1, 0))</f>
        <v>1</v>
      </c>
      <c r="L167" s="5">
        <f>INDEX(products!$A$1:$G$49, MATCH(orders!$D167, products!$A$1:$A$49, 0), MATCH(orders!L$1, products!$A$1:$G$1, 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 MATCH(orders!$D168, products!$A$1:$A$49, 0), MATCH(orders!I$1, products!$A$1:$G$1, 0))</f>
        <v>Rob</v>
      </c>
      <c r="J168" t="str">
        <f>INDEX(products!$A$1:$G$49, MATCH(orders!$D168, products!$A$1:$A$49, 0), MATCH(orders!J$1, products!$A$1:$G$1, 0))</f>
        <v>D</v>
      </c>
      <c r="K168" s="4">
        <f>INDEX(products!$A$1:$G$49, MATCH(orders!$D168, products!$A$1:$A$49, 0), MATCH(orders!K$1, products!$A$1:$G$1, 0))</f>
        <v>0.5</v>
      </c>
      <c r="L168" s="5">
        <f>INDEX(products!$A$1:$G$49, MATCH(orders!$D168, products!$A$1:$A$49, 0), MATCH(orders!L$1, products!$A$1:$G$1, 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 MATCH(orders!$D169, products!$A$1:$A$49, 0), MATCH(orders!I$1, products!$A$1:$G$1, 0))</f>
        <v>Exc</v>
      </c>
      <c r="J169" t="str">
        <f>INDEX(products!$A$1:$G$49, MATCH(orders!$D169, products!$A$1:$A$49, 0), MATCH(orders!J$1, products!$A$1:$G$1, 0))</f>
        <v>M</v>
      </c>
      <c r="K169" s="4">
        <f>INDEX(products!$A$1:$G$49, MATCH(orders!$D169, products!$A$1:$A$49, 0), MATCH(orders!K$1, products!$A$1:$G$1, 0))</f>
        <v>0.5</v>
      </c>
      <c r="L169" s="5">
        <f>INDEX(products!$A$1:$G$49, MATCH(orders!$D169, products!$A$1:$A$49, 0), MATCH(orders!L$1, products!$A$1:$G$1, 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 MATCH(orders!$D170, products!$A$1:$A$49, 0), MATCH(orders!I$1, products!$A$1:$G$1, 0))</f>
        <v>Ara</v>
      </c>
      <c r="J170" t="str">
        <f>INDEX(products!$A$1:$G$49, MATCH(orders!$D170, products!$A$1:$A$49, 0), MATCH(orders!J$1, products!$A$1:$G$1, 0))</f>
        <v>M</v>
      </c>
      <c r="K170" s="4">
        <f>INDEX(products!$A$1:$G$49, MATCH(orders!$D170, products!$A$1:$A$49, 0), MATCH(orders!K$1, products!$A$1:$G$1, 0))</f>
        <v>0.5</v>
      </c>
      <c r="L170" s="5">
        <f>INDEX(products!$A$1:$G$49, MATCH(orders!$D170, products!$A$1:$A$49, 0), MATCH(orders!L$1, products!$A$1:$G$1, 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 MATCH(orders!$D171, products!$A$1:$A$49, 0), MATCH(orders!I$1, products!$A$1:$G$1, 0))</f>
        <v>Rob</v>
      </c>
      <c r="J171" t="str">
        <f>INDEX(products!$A$1:$G$49, MATCH(orders!$D171, products!$A$1:$A$49, 0), MATCH(orders!J$1, products!$A$1:$G$1, 0))</f>
        <v>D</v>
      </c>
      <c r="K171" s="4">
        <f>INDEX(products!$A$1:$G$49, MATCH(orders!$D171, products!$A$1:$A$49, 0), MATCH(orders!K$1, products!$A$1:$G$1, 0))</f>
        <v>1</v>
      </c>
      <c r="L171" s="5">
        <f>INDEX(products!$A$1:$G$49, MATCH(orders!$D171, products!$A$1:$A$49, 0), MATCH(orders!L$1, products!$A$1:$G$1, 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 MATCH(orders!$D172, products!$A$1:$A$49, 0), MATCH(orders!I$1, products!$A$1:$G$1, 0))</f>
        <v>Exc</v>
      </c>
      <c r="J172" t="str">
        <f>INDEX(products!$A$1:$G$49, MATCH(orders!$D172, products!$A$1:$A$49, 0), MATCH(orders!J$1, products!$A$1:$G$1, 0))</f>
        <v>L</v>
      </c>
      <c r="K172" s="4">
        <f>INDEX(products!$A$1:$G$49, MATCH(orders!$D172, products!$A$1:$A$49, 0), MATCH(orders!K$1, products!$A$1:$G$1, 0))</f>
        <v>2.5</v>
      </c>
      <c r="L172" s="5">
        <f>INDEX(products!$A$1:$G$49, MATCH(orders!$D172, products!$A$1:$A$49, 0), MATCH(orders!L$1, products!$A$1:$G$1, 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 MATCH(orders!$D173, products!$A$1:$A$49, 0), MATCH(orders!I$1, products!$A$1:$G$1, 0))</f>
        <v>Exc</v>
      </c>
      <c r="J173" t="str">
        <f>INDEX(products!$A$1:$G$49, MATCH(orders!$D173, products!$A$1:$A$49, 0), MATCH(orders!J$1, products!$A$1:$G$1, 0))</f>
        <v>M</v>
      </c>
      <c r="K173" s="4">
        <f>INDEX(products!$A$1:$G$49, MATCH(orders!$D173, products!$A$1:$A$49, 0), MATCH(orders!K$1, products!$A$1:$G$1, 0))</f>
        <v>2.5</v>
      </c>
      <c r="L173" s="5">
        <f>INDEX(products!$A$1:$G$49, MATCH(orders!$D173, products!$A$1:$A$49, 0), MATCH(orders!L$1, products!$A$1:$G$1, 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 MATCH(orders!$D174, products!$A$1:$A$49, 0), MATCH(orders!I$1, products!$A$1:$G$1, 0))</f>
        <v>Exc</v>
      </c>
      <c r="J174" t="str">
        <f>INDEX(products!$A$1:$G$49, MATCH(orders!$D174, products!$A$1:$A$49, 0), MATCH(orders!J$1, products!$A$1:$G$1, 0))</f>
        <v>D</v>
      </c>
      <c r="K174" s="4">
        <f>INDEX(products!$A$1:$G$49, MATCH(orders!$D174, products!$A$1:$A$49, 0), MATCH(orders!K$1, products!$A$1:$G$1, 0))</f>
        <v>0.5</v>
      </c>
      <c r="L174" s="5">
        <f>INDEX(products!$A$1:$G$49, MATCH(orders!$D174, products!$A$1:$A$49, 0), MATCH(orders!L$1, products!$A$1:$G$1, 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 MATCH(orders!$D175, products!$A$1:$A$49, 0), MATCH(orders!I$1, products!$A$1:$G$1, 0))</f>
        <v>Rob</v>
      </c>
      <c r="J175" t="str">
        <f>INDEX(products!$A$1:$G$49, MATCH(orders!$D175, products!$A$1:$A$49, 0), MATCH(orders!J$1, products!$A$1:$G$1, 0))</f>
        <v>M</v>
      </c>
      <c r="K175" s="4">
        <f>INDEX(products!$A$1:$G$49, MATCH(orders!$D175, products!$A$1:$A$49, 0), MATCH(orders!K$1, products!$A$1:$G$1, 0))</f>
        <v>2.5</v>
      </c>
      <c r="L175" s="5">
        <f>INDEX(products!$A$1:$G$49, MATCH(orders!$D175, products!$A$1:$A$49, 0), MATCH(orders!L$1, products!$A$1:$G$1, 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 MATCH(orders!$D176, products!$A$1:$A$49, 0), MATCH(orders!I$1, products!$A$1:$G$1, 0))</f>
        <v>Exc</v>
      </c>
      <c r="J176" t="str">
        <f>INDEX(products!$A$1:$G$49, MATCH(orders!$D176, products!$A$1:$A$49, 0), MATCH(orders!J$1, products!$A$1:$G$1, 0))</f>
        <v>L</v>
      </c>
      <c r="K176" s="4">
        <f>INDEX(products!$A$1:$G$49, MATCH(orders!$D176, products!$A$1:$A$49, 0), MATCH(orders!K$1, products!$A$1:$G$1, 0))</f>
        <v>2.5</v>
      </c>
      <c r="L176" s="5">
        <f>INDEX(products!$A$1:$G$49, MATCH(orders!$D176, products!$A$1:$A$49, 0), MATCH(orders!L$1, products!$A$1:$G$1, 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 MATCH(orders!$D177, products!$A$1:$A$49, 0), MATCH(orders!I$1, products!$A$1:$G$1, 0))</f>
        <v>Exc</v>
      </c>
      <c r="J177" t="str">
        <f>INDEX(products!$A$1:$G$49, MATCH(orders!$D177, products!$A$1:$A$49, 0), MATCH(orders!J$1, products!$A$1:$G$1, 0))</f>
        <v>M</v>
      </c>
      <c r="K177" s="4">
        <f>INDEX(products!$A$1:$G$49, MATCH(orders!$D177, products!$A$1:$A$49, 0), MATCH(orders!K$1, products!$A$1:$G$1, 0))</f>
        <v>2.5</v>
      </c>
      <c r="L177" s="5">
        <f>INDEX(products!$A$1:$G$49, MATCH(orders!$D177, products!$A$1:$A$49, 0), MATCH(orders!L$1, products!$A$1:$G$1, 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 MATCH(orders!$D178, products!$A$1:$A$49, 0), MATCH(orders!I$1, products!$A$1:$G$1, 0))</f>
        <v>Exc</v>
      </c>
      <c r="J178" t="str">
        <f>INDEX(products!$A$1:$G$49, MATCH(orders!$D178, products!$A$1:$A$49, 0), MATCH(orders!J$1, products!$A$1:$G$1, 0))</f>
        <v>L</v>
      </c>
      <c r="K178" s="4">
        <f>INDEX(products!$A$1:$G$49, MATCH(orders!$D178, products!$A$1:$A$49, 0), MATCH(orders!K$1, products!$A$1:$G$1, 0))</f>
        <v>2.5</v>
      </c>
      <c r="L178" s="5">
        <f>INDEX(products!$A$1:$G$49, MATCH(orders!$D178, products!$A$1:$A$49, 0), MATCH(orders!L$1, products!$A$1:$G$1, 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 MATCH(orders!$D179, products!$A$1:$A$49, 0), MATCH(orders!I$1, products!$A$1:$G$1, 0))</f>
        <v>Rob</v>
      </c>
      <c r="J179" t="str">
        <f>INDEX(products!$A$1:$G$49, MATCH(orders!$D179, products!$A$1:$A$49, 0), MATCH(orders!J$1, products!$A$1:$G$1, 0))</f>
        <v>L</v>
      </c>
      <c r="K179" s="4">
        <f>INDEX(products!$A$1:$G$49, MATCH(orders!$D179, products!$A$1:$A$49, 0), MATCH(orders!K$1, products!$A$1:$G$1, 0))</f>
        <v>2.5</v>
      </c>
      <c r="L179" s="5">
        <f>INDEX(products!$A$1:$G$49, MATCH(orders!$D179, products!$A$1:$A$49, 0), MATCH(orders!L$1, products!$A$1:$G$1, 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 MATCH(orders!$D180, products!$A$1:$A$49, 0), MATCH(orders!I$1, products!$A$1:$G$1, 0))</f>
        <v>Ara</v>
      </c>
      <c r="J180" t="str">
        <f>INDEX(products!$A$1:$G$49, MATCH(orders!$D180, products!$A$1:$A$49, 0), MATCH(orders!J$1, products!$A$1:$G$1, 0))</f>
        <v>L</v>
      </c>
      <c r="K180" s="4">
        <f>INDEX(products!$A$1:$G$49, MATCH(orders!$D180, products!$A$1:$A$49, 0), MATCH(orders!K$1, products!$A$1:$G$1, 0))</f>
        <v>1</v>
      </c>
      <c r="L180" s="5">
        <f>INDEX(products!$A$1:$G$49, MATCH(orders!$D180, products!$A$1:$A$49, 0), MATCH(orders!L$1, products!$A$1:$G$1, 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 MATCH(orders!$D181, products!$A$1:$A$49, 0), MATCH(orders!I$1, products!$A$1:$G$1, 0))</f>
        <v>Ara</v>
      </c>
      <c r="J181" t="str">
        <f>INDEX(products!$A$1:$G$49, MATCH(orders!$D181, products!$A$1:$A$49, 0), MATCH(orders!J$1, products!$A$1:$G$1, 0))</f>
        <v>D</v>
      </c>
      <c r="K181" s="4">
        <f>INDEX(products!$A$1:$G$49, MATCH(orders!$D181, products!$A$1:$A$49, 0), MATCH(orders!K$1, products!$A$1:$G$1, 0))</f>
        <v>0.2</v>
      </c>
      <c r="L181" s="5">
        <f>INDEX(products!$A$1:$G$49, MATCH(orders!$D181, products!$A$1:$A$49, 0), MATCH(orders!L$1, products!$A$1:$G$1, 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 MATCH(orders!$D182, products!$A$1:$A$49, 0), MATCH(orders!I$1, products!$A$1:$G$1, 0))</f>
        <v>Exc</v>
      </c>
      <c r="J182" t="str">
        <f>INDEX(products!$A$1:$G$49, MATCH(orders!$D182, products!$A$1:$A$49, 0), MATCH(orders!J$1, products!$A$1:$G$1, 0))</f>
        <v>L</v>
      </c>
      <c r="K182" s="4">
        <f>INDEX(products!$A$1:$G$49, MATCH(orders!$D182, products!$A$1:$A$49, 0), MATCH(orders!K$1, products!$A$1:$G$1, 0))</f>
        <v>0.2</v>
      </c>
      <c r="L182" s="5">
        <f>INDEX(products!$A$1:$G$49, MATCH(orders!$D182, products!$A$1:$A$49, 0), MATCH(orders!L$1, products!$A$1:$G$1, 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 MATCH(orders!$D183, products!$A$1:$A$49, 0), MATCH(orders!I$1, products!$A$1:$G$1, 0))</f>
        <v>Ara</v>
      </c>
      <c r="J183" t="str">
        <f>INDEX(products!$A$1:$G$49, MATCH(orders!$D183, products!$A$1:$A$49, 0), MATCH(orders!J$1, products!$A$1:$G$1, 0))</f>
        <v>D</v>
      </c>
      <c r="K183" s="4">
        <f>INDEX(products!$A$1:$G$49, MATCH(orders!$D183, products!$A$1:$A$49, 0), MATCH(orders!K$1, products!$A$1:$G$1, 0))</f>
        <v>0.5</v>
      </c>
      <c r="L183" s="5">
        <f>INDEX(products!$A$1:$G$49, MATCH(orders!$D183, products!$A$1:$A$49, 0), MATCH(orders!L$1, products!$A$1:$G$1, 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 MATCH(orders!$D184, products!$A$1:$A$49, 0), MATCH(orders!I$1, products!$A$1:$G$1, 0))</f>
        <v>Rob</v>
      </c>
      <c r="J184" t="str">
        <f>INDEX(products!$A$1:$G$49, MATCH(orders!$D184, products!$A$1:$A$49, 0), MATCH(orders!J$1, products!$A$1:$G$1, 0))</f>
        <v>D</v>
      </c>
      <c r="K184" s="4">
        <f>INDEX(products!$A$1:$G$49, MATCH(orders!$D184, products!$A$1:$A$49, 0), MATCH(orders!K$1, products!$A$1:$G$1, 0))</f>
        <v>0.5</v>
      </c>
      <c r="L184" s="5">
        <f>INDEX(products!$A$1:$G$49, MATCH(orders!$D184, products!$A$1:$A$49, 0), MATCH(orders!L$1, products!$A$1:$G$1, 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 MATCH(orders!$D185, products!$A$1:$A$49, 0), MATCH(orders!I$1, products!$A$1:$G$1, 0))</f>
        <v>Exc</v>
      </c>
      <c r="J185" t="str">
        <f>INDEX(products!$A$1:$G$49, MATCH(orders!$D185, products!$A$1:$A$49, 0), MATCH(orders!J$1, products!$A$1:$G$1, 0))</f>
        <v>M</v>
      </c>
      <c r="K185" s="4">
        <f>INDEX(products!$A$1:$G$49, MATCH(orders!$D185, products!$A$1:$A$49, 0), MATCH(orders!K$1, products!$A$1:$G$1, 0))</f>
        <v>0.2</v>
      </c>
      <c r="L185" s="5">
        <f>INDEX(products!$A$1:$G$49, MATCH(orders!$D185, products!$A$1:$A$49, 0), MATCH(orders!L$1, products!$A$1:$G$1, 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 MATCH(orders!$D186, products!$A$1:$A$49, 0), MATCH(orders!I$1, products!$A$1:$G$1, 0))</f>
        <v>Ara</v>
      </c>
      <c r="J186" t="str">
        <f>INDEX(products!$A$1:$G$49, MATCH(orders!$D186, products!$A$1:$A$49, 0), MATCH(orders!J$1, products!$A$1:$G$1, 0))</f>
        <v>L</v>
      </c>
      <c r="K186" s="4">
        <f>INDEX(products!$A$1:$G$49, MATCH(orders!$D186, products!$A$1:$A$49, 0), MATCH(orders!K$1, products!$A$1:$G$1, 0))</f>
        <v>0.5</v>
      </c>
      <c r="L186" s="5">
        <f>INDEX(products!$A$1:$G$49, MATCH(orders!$D186, products!$A$1:$A$49, 0), MATCH(orders!L$1, products!$A$1:$G$1, 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 MATCH(orders!$D187, products!$A$1:$A$49, 0), MATCH(orders!I$1, products!$A$1:$G$1, 0))</f>
        <v>Exc</v>
      </c>
      <c r="J187" t="str">
        <f>INDEX(products!$A$1:$G$49, MATCH(orders!$D187, products!$A$1:$A$49, 0), MATCH(orders!J$1, products!$A$1:$G$1, 0))</f>
        <v>D</v>
      </c>
      <c r="K187" s="4">
        <f>INDEX(products!$A$1:$G$49, MATCH(orders!$D187, products!$A$1:$A$49, 0), MATCH(orders!K$1, products!$A$1:$G$1, 0))</f>
        <v>0.5</v>
      </c>
      <c r="L187" s="5">
        <f>INDEX(products!$A$1:$G$49, MATCH(orders!$D187, products!$A$1:$A$49, 0), MATCH(orders!L$1, products!$A$1:$G$1, 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 MATCH(orders!$D188, products!$A$1:$A$49, 0), MATCH(orders!I$1, products!$A$1:$G$1, 0))</f>
        <v>Rob</v>
      </c>
      <c r="J188" t="str">
        <f>INDEX(products!$A$1:$G$49, MATCH(orders!$D188, products!$A$1:$A$49, 0), MATCH(orders!J$1, products!$A$1:$G$1, 0))</f>
        <v>M</v>
      </c>
      <c r="K188" s="4">
        <f>INDEX(products!$A$1:$G$49, MATCH(orders!$D188, products!$A$1:$A$49, 0), MATCH(orders!K$1, products!$A$1:$G$1, 0))</f>
        <v>2.5</v>
      </c>
      <c r="L188" s="5">
        <f>INDEX(products!$A$1:$G$49, MATCH(orders!$D188, products!$A$1:$A$49, 0), MATCH(orders!L$1, products!$A$1:$G$1, 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 MATCH(orders!$D189, products!$A$1:$A$49, 0), MATCH(orders!I$1, products!$A$1:$G$1, 0))</f>
        <v>Lib</v>
      </c>
      <c r="J189" t="str">
        <f>INDEX(products!$A$1:$G$49, MATCH(orders!$D189, products!$A$1:$A$49, 0), MATCH(orders!J$1, products!$A$1:$G$1, 0))</f>
        <v>M</v>
      </c>
      <c r="K189" s="4">
        <f>INDEX(products!$A$1:$G$49, MATCH(orders!$D189, products!$A$1:$A$49, 0), MATCH(orders!K$1, products!$A$1:$G$1, 0))</f>
        <v>0.5</v>
      </c>
      <c r="L189" s="5">
        <f>INDEX(products!$A$1:$G$49, MATCH(orders!$D189, products!$A$1:$A$49, 0), MATCH(orders!L$1, products!$A$1:$G$1, 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 MATCH(orders!$D190, products!$A$1:$A$49, 0), MATCH(orders!I$1, products!$A$1:$G$1, 0))</f>
        <v>Exc</v>
      </c>
      <c r="J190" t="str">
        <f>INDEX(products!$A$1:$G$49, MATCH(orders!$D190, products!$A$1:$A$49, 0), MATCH(orders!J$1, products!$A$1:$G$1, 0))</f>
        <v>L</v>
      </c>
      <c r="K190" s="4">
        <f>INDEX(products!$A$1:$G$49, MATCH(orders!$D190, products!$A$1:$A$49, 0), MATCH(orders!K$1, products!$A$1:$G$1, 0))</f>
        <v>0.2</v>
      </c>
      <c r="L190" s="5">
        <f>INDEX(products!$A$1:$G$49, MATCH(orders!$D190, products!$A$1:$A$49, 0), MATCH(orders!L$1, products!$A$1:$G$1, 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 MATCH(orders!$D191, products!$A$1:$A$49, 0), MATCH(orders!I$1, products!$A$1:$G$1, 0))</f>
        <v>Lib</v>
      </c>
      <c r="J191" t="str">
        <f>INDEX(products!$A$1:$G$49, MATCH(orders!$D191, products!$A$1:$A$49, 0), MATCH(orders!J$1, products!$A$1:$G$1, 0))</f>
        <v>M</v>
      </c>
      <c r="K191" s="4">
        <f>INDEX(products!$A$1:$G$49, MATCH(orders!$D191, products!$A$1:$A$49, 0), MATCH(orders!K$1, products!$A$1:$G$1, 0))</f>
        <v>1</v>
      </c>
      <c r="L191" s="5">
        <f>INDEX(products!$A$1:$G$49, MATCH(orders!$D191, products!$A$1:$A$49, 0), MATCH(orders!L$1, products!$A$1:$G$1, 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 MATCH(orders!$D192, products!$A$1:$A$49, 0), MATCH(orders!I$1, products!$A$1:$G$1, 0))</f>
        <v>Lib</v>
      </c>
      <c r="J192" t="str">
        <f>INDEX(products!$A$1:$G$49, MATCH(orders!$D192, products!$A$1:$A$49, 0), MATCH(orders!J$1, products!$A$1:$G$1, 0))</f>
        <v>M</v>
      </c>
      <c r="K192" s="4">
        <f>INDEX(products!$A$1:$G$49, MATCH(orders!$D192, products!$A$1:$A$49, 0), MATCH(orders!K$1, products!$A$1:$G$1, 0))</f>
        <v>2.5</v>
      </c>
      <c r="L192" s="5">
        <f>INDEX(products!$A$1:$G$49, MATCH(orders!$D192, products!$A$1:$A$49, 0), MATCH(orders!L$1, products!$A$1:$G$1, 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 MATCH(orders!$D193, products!$A$1:$A$49, 0), MATCH(orders!I$1, products!$A$1:$G$1, 0))</f>
        <v>Lib</v>
      </c>
      <c r="J193" t="str">
        <f>INDEX(products!$A$1:$G$49, MATCH(orders!$D193, products!$A$1:$A$49, 0), MATCH(orders!J$1, products!$A$1:$G$1, 0))</f>
        <v>D</v>
      </c>
      <c r="K193" s="4">
        <f>INDEX(products!$A$1:$G$49, MATCH(orders!$D193, products!$A$1:$A$49, 0), MATCH(orders!K$1, products!$A$1:$G$1, 0))</f>
        <v>0.2</v>
      </c>
      <c r="L193" s="5">
        <f>INDEX(products!$A$1:$G$49, MATCH(orders!$D193, products!$A$1:$A$49, 0), MATCH(orders!L$1, products!$A$1:$G$1, 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 MATCH(orders!$D194, products!$A$1:$A$49, 0), MATCH(orders!I$1, products!$A$1:$G$1, 0))</f>
        <v>Exc</v>
      </c>
      <c r="J194" t="str">
        <f>INDEX(products!$A$1:$G$49, MATCH(orders!$D194, products!$A$1:$A$49, 0), MATCH(orders!J$1, products!$A$1:$G$1, 0))</f>
        <v>D</v>
      </c>
      <c r="K194" s="4">
        <f>INDEX(products!$A$1:$G$49, MATCH(orders!$D194, products!$A$1:$A$49, 0), MATCH(orders!K$1, products!$A$1:$G$1, 0))</f>
        <v>1</v>
      </c>
      <c r="L194" s="5">
        <f>INDEX(products!$A$1:$G$49, MATCH(orders!$D194, products!$A$1:$A$49, 0), MATCH(orders!L$1, products!$A$1:$G$1, 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 MATCH(orders!$D195, products!$A$1:$A$49, 0), MATCH(orders!I$1, products!$A$1:$G$1, 0))</f>
        <v>Exc</v>
      </c>
      <c r="J195" t="str">
        <f>INDEX(products!$A$1:$G$49, MATCH(orders!$D195, products!$A$1:$A$49, 0), MATCH(orders!J$1, products!$A$1:$G$1, 0))</f>
        <v>L</v>
      </c>
      <c r="K195" s="4">
        <f>INDEX(products!$A$1:$G$49, MATCH(orders!$D195, products!$A$1:$A$49, 0), MATCH(orders!K$1, products!$A$1:$G$1, 0))</f>
        <v>1</v>
      </c>
      <c r="L195" s="5">
        <f>INDEX(products!$A$1:$G$49, MATCH(orders!$D195, products!$A$1:$A$49, 0), MATCH(orders!L$1, products!$A$1:$G$1, 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 MATCH(orders!$D196, products!$A$1:$A$49, 0), MATCH(orders!I$1, products!$A$1:$G$1, 0))</f>
        <v>Exc</v>
      </c>
      <c r="J196" t="str">
        <f>INDEX(products!$A$1:$G$49, MATCH(orders!$D196, products!$A$1:$A$49, 0), MATCH(orders!J$1, products!$A$1:$G$1, 0))</f>
        <v>D</v>
      </c>
      <c r="K196" s="4">
        <f>INDEX(products!$A$1:$G$49, MATCH(orders!$D196, products!$A$1:$A$49, 0), MATCH(orders!K$1, products!$A$1:$G$1, 0))</f>
        <v>0.5</v>
      </c>
      <c r="L196" s="5">
        <f>INDEX(products!$A$1:$G$49, MATCH(orders!$D196, products!$A$1:$A$49, 0), MATCH(orders!L$1, products!$A$1:$G$1, 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 MATCH(orders!$D197, products!$A$1:$A$49, 0), MATCH(orders!I$1, products!$A$1:$G$1, 0))</f>
        <v>Ara</v>
      </c>
      <c r="J197" t="str">
        <f>INDEX(products!$A$1:$G$49, MATCH(orders!$D197, products!$A$1:$A$49, 0), MATCH(orders!J$1, products!$A$1:$G$1, 0))</f>
        <v>L</v>
      </c>
      <c r="K197" s="4">
        <f>INDEX(products!$A$1:$G$49, MATCH(orders!$D197, products!$A$1:$A$49, 0), MATCH(orders!K$1, products!$A$1:$G$1, 0))</f>
        <v>1</v>
      </c>
      <c r="L197" s="5">
        <f>INDEX(products!$A$1:$G$49, MATCH(orders!$D197, products!$A$1:$A$49, 0), MATCH(orders!L$1, products!$A$1:$G$1, 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 MATCH(orders!$D198, products!$A$1:$A$49, 0), MATCH(orders!I$1, products!$A$1:$G$1, 0))</f>
        <v>Exc</v>
      </c>
      <c r="J198" t="str">
        <f>INDEX(products!$A$1:$G$49, MATCH(orders!$D198, products!$A$1:$A$49, 0), MATCH(orders!J$1, products!$A$1:$G$1, 0))</f>
        <v>L</v>
      </c>
      <c r="K198" s="4">
        <f>INDEX(products!$A$1:$G$49, MATCH(orders!$D198, products!$A$1:$A$49, 0), MATCH(orders!K$1, products!$A$1:$G$1, 0))</f>
        <v>0.5</v>
      </c>
      <c r="L198" s="5">
        <f>INDEX(products!$A$1:$G$49, MATCH(orders!$D198, products!$A$1:$A$49, 0), MATCH(orders!L$1, products!$A$1:$G$1, 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 MATCH(orders!$D199, products!$A$1:$A$49, 0), MATCH(orders!I$1, products!$A$1:$G$1, 0))</f>
        <v>Lib</v>
      </c>
      <c r="J199" t="str">
        <f>INDEX(products!$A$1:$G$49, MATCH(orders!$D199, products!$A$1:$A$49, 0), MATCH(orders!J$1, products!$A$1:$G$1, 0))</f>
        <v>D</v>
      </c>
      <c r="K199" s="4">
        <f>INDEX(products!$A$1:$G$49, MATCH(orders!$D199, products!$A$1:$A$49, 0), MATCH(orders!K$1, products!$A$1:$G$1, 0))</f>
        <v>2.5</v>
      </c>
      <c r="L199" s="5">
        <f>INDEX(products!$A$1:$G$49, MATCH(orders!$D199, products!$A$1:$A$49, 0), MATCH(orders!L$1, products!$A$1:$G$1, 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 MATCH(orders!$D200, products!$A$1:$A$49, 0), MATCH(orders!I$1, products!$A$1:$G$1, 0))</f>
        <v>Lib</v>
      </c>
      <c r="J200" t="str">
        <f>INDEX(products!$A$1:$G$49, MATCH(orders!$D200, products!$A$1:$A$49, 0), MATCH(orders!J$1, products!$A$1:$G$1, 0))</f>
        <v>D</v>
      </c>
      <c r="K200" s="4">
        <f>INDEX(products!$A$1:$G$49, MATCH(orders!$D200, products!$A$1:$A$49, 0), MATCH(orders!K$1, products!$A$1:$G$1, 0))</f>
        <v>2.5</v>
      </c>
      <c r="L200" s="5">
        <f>INDEX(products!$A$1:$G$49, MATCH(orders!$D200, products!$A$1:$A$49, 0), MATCH(orders!L$1, products!$A$1:$G$1, 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 MATCH(orders!$D201, products!$A$1:$A$49, 0), MATCH(orders!I$1, products!$A$1:$G$1, 0))</f>
        <v>Lib</v>
      </c>
      <c r="J201" t="str">
        <f>INDEX(products!$A$1:$G$49, MATCH(orders!$D201, products!$A$1:$A$49, 0), MATCH(orders!J$1, products!$A$1:$G$1, 0))</f>
        <v>L</v>
      </c>
      <c r="K201" s="4">
        <f>INDEX(products!$A$1:$G$49, MATCH(orders!$D201, products!$A$1:$A$49, 0), MATCH(orders!K$1, products!$A$1:$G$1, 0))</f>
        <v>0.5</v>
      </c>
      <c r="L201" s="5">
        <f>INDEX(products!$A$1:$G$49, MATCH(orders!$D201, products!$A$1:$A$49, 0), MATCH(orders!L$1, products!$A$1:$G$1, 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 MATCH(orders!$D202, products!$A$1:$A$49, 0), MATCH(orders!I$1, products!$A$1:$G$1, 0))</f>
        <v>Exc</v>
      </c>
      <c r="J202" t="str">
        <f>INDEX(products!$A$1:$G$49, MATCH(orders!$D202, products!$A$1:$A$49, 0), MATCH(orders!J$1, products!$A$1:$G$1, 0))</f>
        <v>M</v>
      </c>
      <c r="K202" s="4">
        <f>INDEX(products!$A$1:$G$49, MATCH(orders!$D202, products!$A$1:$A$49, 0), MATCH(orders!K$1, products!$A$1:$G$1, 0))</f>
        <v>1</v>
      </c>
      <c r="L202" s="5">
        <f>INDEX(products!$A$1:$G$49, MATCH(orders!$D202, products!$A$1:$A$49, 0), MATCH(orders!L$1, products!$A$1:$G$1, 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 MATCH(orders!$D203, products!$A$1:$A$49, 0), MATCH(orders!I$1, products!$A$1:$G$1, 0))</f>
        <v>Lib</v>
      </c>
      <c r="J203" t="str">
        <f>INDEX(products!$A$1:$G$49, MATCH(orders!$D203, products!$A$1:$A$49, 0), MATCH(orders!J$1, products!$A$1:$G$1, 0))</f>
        <v>L</v>
      </c>
      <c r="K203" s="4">
        <f>INDEX(products!$A$1:$G$49, MATCH(orders!$D203, products!$A$1:$A$49, 0), MATCH(orders!K$1, products!$A$1:$G$1, 0))</f>
        <v>0.5</v>
      </c>
      <c r="L203" s="5">
        <f>INDEX(products!$A$1:$G$49, MATCH(orders!$D203, products!$A$1:$A$49, 0), MATCH(orders!L$1, products!$A$1:$G$1, 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 MATCH(orders!$D204, products!$A$1:$A$49, 0), MATCH(orders!I$1, products!$A$1:$G$1, 0))</f>
        <v>Lib</v>
      </c>
      <c r="J204" t="str">
        <f>INDEX(products!$A$1:$G$49, MATCH(orders!$D204, products!$A$1:$A$49, 0), MATCH(orders!J$1, products!$A$1:$G$1, 0))</f>
        <v>D</v>
      </c>
      <c r="K204" s="4">
        <f>INDEX(products!$A$1:$G$49, MATCH(orders!$D204, products!$A$1:$A$49, 0), MATCH(orders!K$1, products!$A$1:$G$1, 0))</f>
        <v>2.5</v>
      </c>
      <c r="L204" s="5">
        <f>INDEX(products!$A$1:$G$49, MATCH(orders!$D204, products!$A$1:$A$49, 0), MATCH(orders!L$1, products!$A$1:$G$1, 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 MATCH(orders!$D205, products!$A$1:$A$49, 0), MATCH(orders!I$1, products!$A$1:$G$1, 0))</f>
        <v>Lib</v>
      </c>
      <c r="J205" t="str">
        <f>INDEX(products!$A$1:$G$49, MATCH(orders!$D205, products!$A$1:$A$49, 0), MATCH(orders!J$1, products!$A$1:$G$1, 0))</f>
        <v>L</v>
      </c>
      <c r="K205" s="4">
        <f>INDEX(products!$A$1:$G$49, MATCH(orders!$D205, products!$A$1:$A$49, 0), MATCH(orders!K$1, products!$A$1:$G$1, 0))</f>
        <v>0.2</v>
      </c>
      <c r="L205" s="5">
        <f>INDEX(products!$A$1:$G$49, MATCH(orders!$D205, products!$A$1:$A$49, 0), MATCH(orders!L$1, products!$A$1:$G$1, 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 MATCH(orders!$D206, products!$A$1:$A$49, 0), MATCH(orders!I$1, products!$A$1:$G$1, 0))</f>
        <v>Exc</v>
      </c>
      <c r="J206" t="str">
        <f>INDEX(products!$A$1:$G$49, MATCH(orders!$D206, products!$A$1:$A$49, 0), MATCH(orders!J$1, products!$A$1:$G$1, 0))</f>
        <v>M</v>
      </c>
      <c r="K206" s="4">
        <f>INDEX(products!$A$1:$G$49, MATCH(orders!$D206, products!$A$1:$A$49, 0), MATCH(orders!K$1, products!$A$1:$G$1, 0))</f>
        <v>1</v>
      </c>
      <c r="L206" s="5">
        <f>INDEX(products!$A$1:$G$49, MATCH(orders!$D206, products!$A$1:$A$49, 0), MATCH(orders!L$1, products!$A$1:$G$1, 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 MATCH(orders!$D207, products!$A$1:$A$49, 0), MATCH(orders!I$1, products!$A$1:$G$1, 0))</f>
        <v>Rob</v>
      </c>
      <c r="J207" t="str">
        <f>INDEX(products!$A$1:$G$49, MATCH(orders!$D207, products!$A$1:$A$49, 0), MATCH(orders!J$1, products!$A$1:$G$1, 0))</f>
        <v>D</v>
      </c>
      <c r="K207" s="4">
        <f>INDEX(products!$A$1:$G$49, MATCH(orders!$D207, products!$A$1:$A$49, 0), MATCH(orders!K$1, products!$A$1:$G$1, 0))</f>
        <v>0.2</v>
      </c>
      <c r="L207" s="5">
        <f>INDEX(products!$A$1:$G$49, MATCH(orders!$D207, products!$A$1:$A$49, 0), MATCH(orders!L$1, products!$A$1:$G$1, 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 MATCH(orders!$D208, products!$A$1:$A$49, 0), MATCH(orders!I$1, products!$A$1:$G$1, 0))</f>
        <v>Ara</v>
      </c>
      <c r="J208" t="str">
        <f>INDEX(products!$A$1:$G$49, MATCH(orders!$D208, products!$A$1:$A$49, 0), MATCH(orders!J$1, products!$A$1:$G$1, 0))</f>
        <v>M</v>
      </c>
      <c r="K208" s="4">
        <f>INDEX(products!$A$1:$G$49, MATCH(orders!$D208, products!$A$1:$A$49, 0), MATCH(orders!K$1, products!$A$1:$G$1, 0))</f>
        <v>1</v>
      </c>
      <c r="L208" s="5">
        <f>INDEX(products!$A$1:$G$49, MATCH(orders!$D208, products!$A$1:$A$49, 0), MATCH(orders!L$1, products!$A$1:$G$1, 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 MATCH(orders!$D209, products!$A$1:$A$49, 0), MATCH(orders!I$1, products!$A$1:$G$1, 0))</f>
        <v>Ara</v>
      </c>
      <c r="J209" t="str">
        <f>INDEX(products!$A$1:$G$49, MATCH(orders!$D209, products!$A$1:$A$49, 0), MATCH(orders!J$1, products!$A$1:$G$1, 0))</f>
        <v>M</v>
      </c>
      <c r="K209" s="4">
        <f>INDEX(products!$A$1:$G$49, MATCH(orders!$D209, products!$A$1:$A$49, 0), MATCH(orders!K$1, products!$A$1:$G$1, 0))</f>
        <v>0.5</v>
      </c>
      <c r="L209" s="5">
        <f>INDEX(products!$A$1:$G$49, MATCH(orders!$D209, products!$A$1:$A$49, 0), MATCH(orders!L$1, products!$A$1:$G$1, 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 MATCH(orders!$D210, products!$A$1:$A$49, 0), MATCH(orders!I$1, products!$A$1:$G$1, 0))</f>
        <v>Exc</v>
      </c>
      <c r="J210" t="str">
        <f>INDEX(products!$A$1:$G$49, MATCH(orders!$D210, products!$A$1:$A$49, 0), MATCH(orders!J$1, products!$A$1:$G$1, 0))</f>
        <v>D</v>
      </c>
      <c r="K210" s="4">
        <f>INDEX(products!$A$1:$G$49, MATCH(orders!$D210, products!$A$1:$A$49, 0), MATCH(orders!K$1, products!$A$1:$G$1, 0))</f>
        <v>0.5</v>
      </c>
      <c r="L210" s="5">
        <f>INDEX(products!$A$1:$G$49, MATCH(orders!$D210, products!$A$1:$A$49, 0), MATCH(orders!L$1, products!$A$1:$G$1, 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 MATCH(orders!$D211, products!$A$1:$A$49, 0), MATCH(orders!I$1, products!$A$1:$G$1, 0))</f>
        <v>Ara</v>
      </c>
      <c r="J211" t="str">
        <f>INDEX(products!$A$1:$G$49, MATCH(orders!$D211, products!$A$1:$A$49, 0), MATCH(orders!J$1, products!$A$1:$G$1, 0))</f>
        <v>M</v>
      </c>
      <c r="K211" s="4">
        <f>INDEX(products!$A$1:$G$49, MATCH(orders!$D211, products!$A$1:$A$49, 0), MATCH(orders!K$1, products!$A$1:$G$1, 0))</f>
        <v>0.5</v>
      </c>
      <c r="L211" s="5">
        <f>INDEX(products!$A$1:$G$49, MATCH(orders!$D211, products!$A$1:$A$49, 0), MATCH(orders!L$1, products!$A$1:$G$1, 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 MATCH(orders!$D212, products!$A$1:$A$49, 0), MATCH(orders!I$1, products!$A$1:$G$1, 0))</f>
        <v>Lib</v>
      </c>
      <c r="J212" t="str">
        <f>INDEX(products!$A$1:$G$49, MATCH(orders!$D212, products!$A$1:$A$49, 0), MATCH(orders!J$1, products!$A$1:$G$1, 0))</f>
        <v>D</v>
      </c>
      <c r="K212" s="4">
        <f>INDEX(products!$A$1:$G$49, MATCH(orders!$D212, products!$A$1:$A$49, 0), MATCH(orders!K$1, products!$A$1:$G$1, 0))</f>
        <v>1</v>
      </c>
      <c r="L212" s="5">
        <f>INDEX(products!$A$1:$G$49, MATCH(orders!$D212, products!$A$1:$A$49, 0), MATCH(orders!L$1, products!$A$1:$G$1, 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 MATCH(orders!$D213, products!$A$1:$A$49, 0), MATCH(orders!I$1, products!$A$1:$G$1, 0))</f>
        <v>Exc</v>
      </c>
      <c r="J213" t="str">
        <f>INDEX(products!$A$1:$G$49, MATCH(orders!$D213, products!$A$1:$A$49, 0), MATCH(orders!J$1, products!$A$1:$G$1, 0))</f>
        <v>L</v>
      </c>
      <c r="K213" s="4">
        <f>INDEX(products!$A$1:$G$49, MATCH(orders!$D213, products!$A$1:$A$49, 0), MATCH(orders!K$1, products!$A$1:$G$1, 0))</f>
        <v>0.5</v>
      </c>
      <c r="L213" s="5">
        <f>INDEX(products!$A$1:$G$49, MATCH(orders!$D213, products!$A$1:$A$49, 0), MATCH(orders!L$1, products!$A$1:$G$1, 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 MATCH(orders!$D214, products!$A$1:$A$49, 0), MATCH(orders!I$1, products!$A$1:$G$1, 0))</f>
        <v>Exc</v>
      </c>
      <c r="J214" t="str">
        <f>INDEX(products!$A$1:$G$49, MATCH(orders!$D214, products!$A$1:$A$49, 0), MATCH(orders!J$1, products!$A$1:$G$1, 0))</f>
        <v>D</v>
      </c>
      <c r="K214" s="4">
        <f>INDEX(products!$A$1:$G$49, MATCH(orders!$D214, products!$A$1:$A$49, 0), MATCH(orders!K$1, products!$A$1:$G$1, 0))</f>
        <v>0.2</v>
      </c>
      <c r="L214" s="5">
        <f>INDEX(products!$A$1:$G$49, MATCH(orders!$D214, products!$A$1:$A$49, 0), MATCH(orders!L$1, products!$A$1:$G$1, 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 MATCH(orders!$D215, products!$A$1:$A$49, 0), MATCH(orders!I$1, products!$A$1:$G$1, 0))</f>
        <v>Rob</v>
      </c>
      <c r="J215" t="str">
        <f>INDEX(products!$A$1:$G$49, MATCH(orders!$D215, products!$A$1:$A$49, 0), MATCH(orders!J$1, products!$A$1:$G$1, 0))</f>
        <v>D</v>
      </c>
      <c r="K215" s="4">
        <f>INDEX(products!$A$1:$G$49, MATCH(orders!$D215, products!$A$1:$A$49, 0), MATCH(orders!K$1, products!$A$1:$G$1, 0))</f>
        <v>2.5</v>
      </c>
      <c r="L215" s="5">
        <f>INDEX(products!$A$1:$G$49, MATCH(orders!$D215, products!$A$1:$A$49, 0), MATCH(orders!L$1, products!$A$1:$G$1, 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 MATCH(orders!$D216, products!$A$1:$A$49, 0), MATCH(orders!I$1, products!$A$1:$G$1, 0))</f>
        <v>Lib</v>
      </c>
      <c r="J216" t="str">
        <f>INDEX(products!$A$1:$G$49, MATCH(orders!$D216, products!$A$1:$A$49, 0), MATCH(orders!J$1, products!$A$1:$G$1, 0))</f>
        <v>L</v>
      </c>
      <c r="K216" s="4">
        <f>INDEX(products!$A$1:$G$49, MATCH(orders!$D216, products!$A$1:$A$49, 0), MATCH(orders!K$1, products!$A$1:$G$1, 0))</f>
        <v>1</v>
      </c>
      <c r="L216" s="5">
        <f>INDEX(products!$A$1:$G$49, MATCH(orders!$D216, products!$A$1:$A$49, 0), MATCH(orders!L$1, products!$A$1:$G$1, 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 MATCH(orders!$D217, products!$A$1:$A$49, 0), MATCH(orders!I$1, products!$A$1:$G$1, 0))</f>
        <v>Lib</v>
      </c>
      <c r="J217" t="str">
        <f>INDEX(products!$A$1:$G$49, MATCH(orders!$D217, products!$A$1:$A$49, 0), MATCH(orders!J$1, products!$A$1:$G$1, 0))</f>
        <v>D</v>
      </c>
      <c r="K217" s="4">
        <f>INDEX(products!$A$1:$G$49, MATCH(orders!$D217, products!$A$1:$A$49, 0), MATCH(orders!K$1, products!$A$1:$G$1, 0))</f>
        <v>0.2</v>
      </c>
      <c r="L217" s="5">
        <f>INDEX(products!$A$1:$G$49, MATCH(orders!$D217, products!$A$1:$A$49, 0), MATCH(orders!L$1, products!$A$1:$G$1, 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 MATCH(orders!$D218, products!$A$1:$A$49, 0), MATCH(orders!I$1, products!$A$1:$G$1, 0))</f>
        <v>Lib</v>
      </c>
      <c r="J218" t="str">
        <f>INDEX(products!$A$1:$G$49, MATCH(orders!$D218, products!$A$1:$A$49, 0), MATCH(orders!J$1, products!$A$1:$G$1, 0))</f>
        <v>M</v>
      </c>
      <c r="K218" s="4">
        <f>INDEX(products!$A$1:$G$49, MATCH(orders!$D218, products!$A$1:$A$49, 0), MATCH(orders!K$1, products!$A$1:$G$1, 0))</f>
        <v>1</v>
      </c>
      <c r="L218" s="5">
        <f>INDEX(products!$A$1:$G$49, MATCH(orders!$D218, products!$A$1:$A$49, 0), MATCH(orders!L$1, products!$A$1:$G$1, 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 MATCH(orders!$D219, products!$A$1:$A$49, 0), MATCH(orders!I$1, products!$A$1:$G$1, 0))</f>
        <v>Exc</v>
      </c>
      <c r="J219" t="str">
        <f>INDEX(products!$A$1:$G$49, MATCH(orders!$D219, products!$A$1:$A$49, 0), MATCH(orders!J$1, products!$A$1:$G$1, 0))</f>
        <v>L</v>
      </c>
      <c r="K219" s="4">
        <f>INDEX(products!$A$1:$G$49, MATCH(orders!$D219, products!$A$1:$A$49, 0), MATCH(orders!K$1, products!$A$1:$G$1, 0))</f>
        <v>0.5</v>
      </c>
      <c r="L219" s="5">
        <f>INDEX(products!$A$1:$G$49, MATCH(orders!$D219, products!$A$1:$A$49, 0), MATCH(orders!L$1, products!$A$1:$G$1, 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 MATCH(orders!$D220, products!$A$1:$A$49, 0), MATCH(orders!I$1, products!$A$1:$G$1, 0))</f>
        <v>Ara</v>
      </c>
      <c r="J220" t="str">
        <f>INDEX(products!$A$1:$G$49, MATCH(orders!$D220, products!$A$1:$A$49, 0), MATCH(orders!J$1, products!$A$1:$G$1, 0))</f>
        <v>M</v>
      </c>
      <c r="K220" s="4">
        <f>INDEX(products!$A$1:$G$49, MATCH(orders!$D220, products!$A$1:$A$49, 0), MATCH(orders!K$1, products!$A$1:$G$1, 0))</f>
        <v>1</v>
      </c>
      <c r="L220" s="5">
        <f>INDEX(products!$A$1:$G$49, MATCH(orders!$D220, products!$A$1:$A$49, 0), MATCH(orders!L$1, products!$A$1:$G$1, 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 MATCH(orders!$D221, products!$A$1:$A$49, 0), MATCH(orders!I$1, products!$A$1:$G$1, 0))</f>
        <v>Rob</v>
      </c>
      <c r="J221" t="str">
        <f>INDEX(products!$A$1:$G$49, MATCH(orders!$D221, products!$A$1:$A$49, 0), MATCH(orders!J$1, products!$A$1:$G$1, 0))</f>
        <v>L</v>
      </c>
      <c r="K221" s="4">
        <f>INDEX(products!$A$1:$G$49, MATCH(orders!$D221, products!$A$1:$A$49, 0), MATCH(orders!K$1, products!$A$1:$G$1, 0))</f>
        <v>0.2</v>
      </c>
      <c r="L221" s="5">
        <f>INDEX(products!$A$1:$G$49, MATCH(orders!$D221, products!$A$1:$A$49, 0), MATCH(orders!L$1, products!$A$1:$G$1, 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 MATCH(orders!$D222, products!$A$1:$A$49, 0), MATCH(orders!I$1, products!$A$1:$G$1, 0))</f>
        <v>Rob</v>
      </c>
      <c r="J222" t="str">
        <f>INDEX(products!$A$1:$G$49, MATCH(orders!$D222, products!$A$1:$A$49, 0), MATCH(orders!J$1, products!$A$1:$G$1, 0))</f>
        <v>M</v>
      </c>
      <c r="K222" s="4">
        <f>INDEX(products!$A$1:$G$49, MATCH(orders!$D222, products!$A$1:$A$49, 0), MATCH(orders!K$1, products!$A$1:$G$1, 0))</f>
        <v>0.2</v>
      </c>
      <c r="L222" s="5">
        <f>INDEX(products!$A$1:$G$49, MATCH(orders!$D222, products!$A$1:$A$49, 0), MATCH(orders!L$1, products!$A$1:$G$1, 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 MATCH(orders!$D223, products!$A$1:$A$49, 0), MATCH(orders!I$1, products!$A$1:$G$1, 0))</f>
        <v>Ara</v>
      </c>
      <c r="J223" t="str">
        <f>INDEX(products!$A$1:$G$49, MATCH(orders!$D223, products!$A$1:$A$49, 0), MATCH(orders!J$1, products!$A$1:$G$1, 0))</f>
        <v>L</v>
      </c>
      <c r="K223" s="4">
        <f>INDEX(products!$A$1:$G$49, MATCH(orders!$D223, products!$A$1:$A$49, 0), MATCH(orders!K$1, products!$A$1:$G$1, 0))</f>
        <v>1</v>
      </c>
      <c r="L223" s="5">
        <f>INDEX(products!$A$1:$G$49, MATCH(orders!$D223, products!$A$1:$A$49, 0), MATCH(orders!L$1, products!$A$1:$G$1, 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 MATCH(orders!$D224, products!$A$1:$A$49, 0), MATCH(orders!I$1, products!$A$1:$G$1, 0))</f>
        <v>Lib</v>
      </c>
      <c r="J224" t="str">
        <f>INDEX(products!$A$1:$G$49, MATCH(orders!$D224, products!$A$1:$A$49, 0), MATCH(orders!J$1, products!$A$1:$G$1, 0))</f>
        <v>D</v>
      </c>
      <c r="K224" s="4">
        <f>INDEX(products!$A$1:$G$49, MATCH(orders!$D224, products!$A$1:$A$49, 0), MATCH(orders!K$1, products!$A$1:$G$1, 0))</f>
        <v>0.5</v>
      </c>
      <c r="L224" s="5">
        <f>INDEX(products!$A$1:$G$49, MATCH(orders!$D224, products!$A$1:$A$49, 0), MATCH(orders!L$1, products!$A$1:$G$1, 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 MATCH(orders!$D225, products!$A$1:$A$49, 0), MATCH(orders!I$1, products!$A$1:$G$1, 0))</f>
        <v>Exc</v>
      </c>
      <c r="J225" t="str">
        <f>INDEX(products!$A$1:$G$49, MATCH(orders!$D225, products!$A$1:$A$49, 0), MATCH(orders!J$1, products!$A$1:$G$1, 0))</f>
        <v>L</v>
      </c>
      <c r="K225" s="4">
        <f>INDEX(products!$A$1:$G$49, MATCH(orders!$D225, products!$A$1:$A$49, 0), MATCH(orders!K$1, products!$A$1:$G$1, 0))</f>
        <v>1</v>
      </c>
      <c r="L225" s="5">
        <f>INDEX(products!$A$1:$G$49, MATCH(orders!$D225, products!$A$1:$A$49, 0), MATCH(orders!L$1, products!$A$1:$G$1, 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 MATCH(orders!$D226, products!$A$1:$A$49, 0), MATCH(orders!I$1, products!$A$1:$G$1, 0))</f>
        <v>Lib</v>
      </c>
      <c r="J226" t="str">
        <f>INDEX(products!$A$1:$G$49, MATCH(orders!$D226, products!$A$1:$A$49, 0), MATCH(orders!J$1, products!$A$1:$G$1, 0))</f>
        <v>D</v>
      </c>
      <c r="K226" s="4">
        <f>INDEX(products!$A$1:$G$49, MATCH(orders!$D226, products!$A$1:$A$49, 0), MATCH(orders!K$1, products!$A$1:$G$1, 0))</f>
        <v>2.5</v>
      </c>
      <c r="L226" s="5">
        <f>INDEX(products!$A$1:$G$49, MATCH(orders!$D226, products!$A$1:$A$49, 0), MATCH(orders!L$1, products!$A$1:$G$1, 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 MATCH(orders!$D227, products!$A$1:$A$49, 0), MATCH(orders!I$1, products!$A$1:$G$1, 0))</f>
        <v>Rob</v>
      </c>
      <c r="J227" t="str">
        <f>INDEX(products!$A$1:$G$49, MATCH(orders!$D227, products!$A$1:$A$49, 0), MATCH(orders!J$1, products!$A$1:$G$1, 0))</f>
        <v>L</v>
      </c>
      <c r="K227" s="4">
        <f>INDEX(products!$A$1:$G$49, MATCH(orders!$D227, products!$A$1:$A$49, 0), MATCH(orders!K$1, products!$A$1:$G$1, 0))</f>
        <v>0.2</v>
      </c>
      <c r="L227" s="5">
        <f>INDEX(products!$A$1:$G$49, MATCH(orders!$D227, products!$A$1:$A$49, 0), MATCH(orders!L$1, products!$A$1:$G$1, 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 MATCH(orders!$D228, products!$A$1:$A$49, 0), MATCH(orders!I$1, products!$A$1:$G$1, 0))</f>
        <v>Ara</v>
      </c>
      <c r="J228" t="str">
        <f>INDEX(products!$A$1:$G$49, MATCH(orders!$D228, products!$A$1:$A$49, 0), MATCH(orders!J$1, products!$A$1:$G$1, 0))</f>
        <v>M</v>
      </c>
      <c r="K228" s="4">
        <f>INDEX(products!$A$1:$G$49, MATCH(orders!$D228, products!$A$1:$A$49, 0), MATCH(orders!K$1, products!$A$1:$G$1, 0))</f>
        <v>2.5</v>
      </c>
      <c r="L228" s="5">
        <f>INDEX(products!$A$1:$G$49, MATCH(orders!$D228, products!$A$1:$A$49, 0), MATCH(orders!L$1, products!$A$1:$G$1, 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 MATCH(orders!$D229, products!$A$1:$A$49, 0), MATCH(orders!I$1, products!$A$1:$G$1, 0))</f>
        <v>Rob</v>
      </c>
      <c r="J229" t="str">
        <f>INDEX(products!$A$1:$G$49, MATCH(orders!$D229, products!$A$1:$A$49, 0), MATCH(orders!J$1, products!$A$1:$G$1, 0))</f>
        <v>D</v>
      </c>
      <c r="K229" s="4">
        <f>INDEX(products!$A$1:$G$49, MATCH(orders!$D229, products!$A$1:$A$49, 0), MATCH(orders!K$1, products!$A$1:$G$1, 0))</f>
        <v>0.2</v>
      </c>
      <c r="L229" s="5">
        <f>INDEX(products!$A$1:$G$49, MATCH(orders!$D229, products!$A$1:$A$49, 0), MATCH(orders!L$1, products!$A$1:$G$1, 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 MATCH(orders!$D230, products!$A$1:$A$49, 0), MATCH(orders!I$1, products!$A$1:$G$1, 0))</f>
        <v>Rob</v>
      </c>
      <c r="J230" t="str">
        <f>INDEX(products!$A$1:$G$49, MATCH(orders!$D230, products!$A$1:$A$49, 0), MATCH(orders!J$1, products!$A$1:$G$1, 0))</f>
        <v>L</v>
      </c>
      <c r="K230" s="4">
        <f>INDEX(products!$A$1:$G$49, MATCH(orders!$D230, products!$A$1:$A$49, 0), MATCH(orders!K$1, products!$A$1:$G$1, 0))</f>
        <v>0.2</v>
      </c>
      <c r="L230" s="5">
        <f>INDEX(products!$A$1:$G$49, MATCH(orders!$D230, products!$A$1:$A$49, 0), MATCH(orders!L$1, products!$A$1:$G$1, 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 MATCH(orders!$D231, products!$A$1:$A$49, 0), MATCH(orders!I$1, products!$A$1:$G$1, 0))</f>
        <v>Lib</v>
      </c>
      <c r="J231" t="str">
        <f>INDEX(products!$A$1:$G$49, MATCH(orders!$D231, products!$A$1:$A$49, 0), MATCH(orders!J$1, products!$A$1:$G$1, 0))</f>
        <v>M</v>
      </c>
      <c r="K231" s="4">
        <f>INDEX(products!$A$1:$G$49, MATCH(orders!$D231, products!$A$1:$A$49, 0), MATCH(orders!K$1, products!$A$1:$G$1, 0))</f>
        <v>0.2</v>
      </c>
      <c r="L231" s="5">
        <f>INDEX(products!$A$1:$G$49, MATCH(orders!$D231, products!$A$1:$A$49, 0), MATCH(orders!L$1, products!$A$1:$G$1, 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 MATCH(orders!$D232, products!$A$1:$A$49, 0), MATCH(orders!I$1, products!$A$1:$G$1, 0))</f>
        <v>Ara</v>
      </c>
      <c r="J232" t="str">
        <f>INDEX(products!$A$1:$G$49, MATCH(orders!$D232, products!$A$1:$A$49, 0), MATCH(orders!J$1, products!$A$1:$G$1, 0))</f>
        <v>M</v>
      </c>
      <c r="K232" s="4">
        <f>INDEX(products!$A$1:$G$49, MATCH(orders!$D232, products!$A$1:$A$49, 0), MATCH(orders!K$1, products!$A$1:$G$1, 0))</f>
        <v>2.5</v>
      </c>
      <c r="L232" s="5">
        <f>INDEX(products!$A$1:$G$49, MATCH(orders!$D232, products!$A$1:$A$49, 0), MATCH(orders!L$1, products!$A$1:$G$1, 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 MATCH(orders!$D233, products!$A$1:$A$49, 0), MATCH(orders!I$1, products!$A$1:$G$1, 0))</f>
        <v>Lib</v>
      </c>
      <c r="J233" t="str">
        <f>INDEX(products!$A$1:$G$49, MATCH(orders!$D233, products!$A$1:$A$49, 0), MATCH(orders!J$1, products!$A$1:$G$1, 0))</f>
        <v>M</v>
      </c>
      <c r="K233" s="4">
        <f>INDEX(products!$A$1:$G$49, MATCH(orders!$D233, products!$A$1:$A$49, 0), MATCH(orders!K$1, products!$A$1:$G$1, 0))</f>
        <v>0.2</v>
      </c>
      <c r="L233" s="5">
        <f>INDEX(products!$A$1:$G$49, MATCH(orders!$D233, products!$A$1:$A$49, 0), MATCH(orders!L$1, products!$A$1:$G$1, 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 MATCH(orders!$D234, products!$A$1:$A$49, 0), MATCH(orders!I$1, products!$A$1:$G$1, 0))</f>
        <v>Lib</v>
      </c>
      <c r="J234" t="str">
        <f>INDEX(products!$A$1:$G$49, MATCH(orders!$D234, products!$A$1:$A$49, 0), MATCH(orders!J$1, products!$A$1:$G$1, 0))</f>
        <v>L</v>
      </c>
      <c r="K234" s="4">
        <f>INDEX(products!$A$1:$G$49, MATCH(orders!$D234, products!$A$1:$A$49, 0), MATCH(orders!K$1, products!$A$1:$G$1, 0))</f>
        <v>0.2</v>
      </c>
      <c r="L234" s="5">
        <f>INDEX(products!$A$1:$G$49, MATCH(orders!$D234, products!$A$1:$A$49, 0), MATCH(orders!L$1, products!$A$1:$G$1, 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 MATCH(orders!$D235, products!$A$1:$A$49, 0), MATCH(orders!I$1, products!$A$1:$G$1, 0))</f>
        <v>Exc</v>
      </c>
      <c r="J235" t="str">
        <f>INDEX(products!$A$1:$G$49, MATCH(orders!$D235, products!$A$1:$A$49, 0), MATCH(orders!J$1, products!$A$1:$G$1, 0))</f>
        <v>M</v>
      </c>
      <c r="K235" s="4">
        <f>INDEX(products!$A$1:$G$49, MATCH(orders!$D235, products!$A$1:$A$49, 0), MATCH(orders!K$1, products!$A$1:$G$1, 0))</f>
        <v>0.2</v>
      </c>
      <c r="L235" s="5">
        <f>INDEX(products!$A$1:$G$49, MATCH(orders!$D235, products!$A$1:$A$49, 0), MATCH(orders!L$1, products!$A$1:$G$1, 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 MATCH(orders!$D236, products!$A$1:$A$49, 0), MATCH(orders!I$1, products!$A$1:$G$1, 0))</f>
        <v>Lib</v>
      </c>
      <c r="J236" t="str">
        <f>INDEX(products!$A$1:$G$49, MATCH(orders!$D236, products!$A$1:$A$49, 0), MATCH(orders!J$1, products!$A$1:$G$1, 0))</f>
        <v>L</v>
      </c>
      <c r="K236" s="4">
        <f>INDEX(products!$A$1:$G$49, MATCH(orders!$D236, products!$A$1:$A$49, 0), MATCH(orders!K$1, products!$A$1:$G$1, 0))</f>
        <v>2.5</v>
      </c>
      <c r="L236" s="5">
        <f>INDEX(products!$A$1:$G$49, MATCH(orders!$D236, products!$A$1:$A$49, 0), MATCH(orders!L$1, products!$A$1:$G$1, 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 MATCH(orders!$D237, products!$A$1:$A$49, 0), MATCH(orders!I$1, products!$A$1:$G$1, 0))</f>
        <v>Lib</v>
      </c>
      <c r="J237" t="str">
        <f>INDEX(products!$A$1:$G$49, MATCH(orders!$D237, products!$A$1:$A$49, 0), MATCH(orders!J$1, products!$A$1:$G$1, 0))</f>
        <v>L</v>
      </c>
      <c r="K237" s="4">
        <f>INDEX(products!$A$1:$G$49, MATCH(orders!$D237, products!$A$1:$A$49, 0), MATCH(orders!K$1, products!$A$1:$G$1, 0))</f>
        <v>2.5</v>
      </c>
      <c r="L237" s="5">
        <f>INDEX(products!$A$1:$G$49, MATCH(orders!$D237, products!$A$1:$A$49, 0), MATCH(orders!L$1, products!$A$1:$G$1, 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 MATCH(orders!$D238, products!$A$1:$A$49, 0), MATCH(orders!I$1, products!$A$1:$G$1, 0))</f>
        <v>Lib</v>
      </c>
      <c r="J238" t="str">
        <f>INDEX(products!$A$1:$G$49, MATCH(orders!$D238, products!$A$1:$A$49, 0), MATCH(orders!J$1, products!$A$1:$G$1, 0))</f>
        <v>D</v>
      </c>
      <c r="K238" s="4">
        <f>INDEX(products!$A$1:$G$49, MATCH(orders!$D238, products!$A$1:$A$49, 0), MATCH(orders!K$1, products!$A$1:$G$1, 0))</f>
        <v>2.5</v>
      </c>
      <c r="L238" s="5">
        <f>INDEX(products!$A$1:$G$49, MATCH(orders!$D238, products!$A$1:$A$49, 0), MATCH(orders!L$1, products!$A$1:$G$1, 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 MATCH(orders!$D239, products!$A$1:$A$49, 0), MATCH(orders!I$1, products!$A$1:$G$1, 0))</f>
        <v>Rob</v>
      </c>
      <c r="J239" t="str">
        <f>INDEX(products!$A$1:$G$49, MATCH(orders!$D239, products!$A$1:$A$49, 0), MATCH(orders!J$1, products!$A$1:$G$1, 0))</f>
        <v>L</v>
      </c>
      <c r="K239" s="4">
        <f>INDEX(products!$A$1:$G$49, MATCH(orders!$D239, products!$A$1:$A$49, 0), MATCH(orders!K$1, products!$A$1:$G$1, 0))</f>
        <v>0.2</v>
      </c>
      <c r="L239" s="5">
        <f>INDEX(products!$A$1:$G$49, MATCH(orders!$D239, products!$A$1:$A$49, 0), MATCH(orders!L$1, products!$A$1:$G$1, 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 MATCH(orders!$D240, products!$A$1:$A$49, 0), MATCH(orders!I$1, products!$A$1:$G$1, 0))</f>
        <v>Rob</v>
      </c>
      <c r="J240" t="str">
        <f>INDEX(products!$A$1:$G$49, MATCH(orders!$D240, products!$A$1:$A$49, 0), MATCH(orders!J$1, products!$A$1:$G$1, 0))</f>
        <v>M</v>
      </c>
      <c r="K240" s="4">
        <f>INDEX(products!$A$1:$G$49, MATCH(orders!$D240, products!$A$1:$A$49, 0), MATCH(orders!K$1, products!$A$1:$G$1, 0))</f>
        <v>2.5</v>
      </c>
      <c r="L240" s="5">
        <f>INDEX(products!$A$1:$G$49, MATCH(orders!$D240, products!$A$1:$A$49, 0), MATCH(orders!L$1, products!$A$1:$G$1, 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 MATCH(orders!$D241, products!$A$1:$A$49, 0), MATCH(orders!I$1, products!$A$1:$G$1, 0))</f>
        <v>Exc</v>
      </c>
      <c r="J241" t="str">
        <f>INDEX(products!$A$1:$G$49, MATCH(orders!$D241, products!$A$1:$A$49, 0), MATCH(orders!J$1, products!$A$1:$G$1, 0))</f>
        <v>L</v>
      </c>
      <c r="K241" s="4">
        <f>INDEX(products!$A$1:$G$49, MATCH(orders!$D241, products!$A$1:$A$49, 0), MATCH(orders!K$1, products!$A$1:$G$1, 0))</f>
        <v>1</v>
      </c>
      <c r="L241" s="5">
        <f>INDEX(products!$A$1:$G$49, MATCH(orders!$D241, products!$A$1:$A$49, 0), MATCH(orders!L$1, products!$A$1:$G$1, 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 MATCH(orders!$D242, products!$A$1:$A$49, 0), MATCH(orders!I$1, products!$A$1:$G$1, 0))</f>
        <v>Ara</v>
      </c>
      <c r="J242" t="str">
        <f>INDEX(products!$A$1:$G$49, MATCH(orders!$D242, products!$A$1:$A$49, 0), MATCH(orders!J$1, products!$A$1:$G$1, 0))</f>
        <v>M</v>
      </c>
      <c r="K242" s="4">
        <f>INDEX(products!$A$1:$G$49, MATCH(orders!$D242, products!$A$1:$A$49, 0), MATCH(orders!K$1, products!$A$1:$G$1, 0))</f>
        <v>2.5</v>
      </c>
      <c r="L242" s="5">
        <f>INDEX(products!$A$1:$G$49, MATCH(orders!$D242, products!$A$1:$A$49, 0), MATCH(orders!L$1, products!$A$1:$G$1, 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 MATCH(orders!$D243, products!$A$1:$A$49, 0), MATCH(orders!I$1, products!$A$1:$G$1, 0))</f>
        <v>Rob</v>
      </c>
      <c r="J243" t="str">
        <f>INDEX(products!$A$1:$G$49, MATCH(orders!$D243, products!$A$1:$A$49, 0), MATCH(orders!J$1, products!$A$1:$G$1, 0))</f>
        <v>M</v>
      </c>
      <c r="K243" s="4">
        <f>INDEX(products!$A$1:$G$49, MATCH(orders!$D243, products!$A$1:$A$49, 0), MATCH(orders!K$1, products!$A$1:$G$1, 0))</f>
        <v>2.5</v>
      </c>
      <c r="L243" s="5">
        <f>INDEX(products!$A$1:$G$49, MATCH(orders!$D243, products!$A$1:$A$49, 0), MATCH(orders!L$1, products!$A$1:$G$1, 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 MATCH(orders!$D244, products!$A$1:$A$49, 0), MATCH(orders!I$1, products!$A$1:$G$1, 0))</f>
        <v>Exc</v>
      </c>
      <c r="J244" t="str">
        <f>INDEX(products!$A$1:$G$49, MATCH(orders!$D244, products!$A$1:$A$49, 0), MATCH(orders!J$1, products!$A$1:$G$1, 0))</f>
        <v>D</v>
      </c>
      <c r="K244" s="4">
        <f>INDEX(products!$A$1:$G$49, MATCH(orders!$D244, products!$A$1:$A$49, 0), MATCH(orders!K$1, products!$A$1:$G$1, 0))</f>
        <v>1</v>
      </c>
      <c r="L244" s="5">
        <f>INDEX(products!$A$1:$G$49, MATCH(orders!$D244, products!$A$1:$A$49, 0), MATCH(orders!L$1, products!$A$1:$G$1, 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 MATCH(orders!$D245, products!$A$1:$A$49, 0), MATCH(orders!I$1, products!$A$1:$G$1, 0))</f>
        <v>Exc</v>
      </c>
      <c r="J245" t="str">
        <f>INDEX(products!$A$1:$G$49, MATCH(orders!$D245, products!$A$1:$A$49, 0), MATCH(orders!J$1, products!$A$1:$G$1, 0))</f>
        <v>D</v>
      </c>
      <c r="K245" s="4">
        <f>INDEX(products!$A$1:$G$49, MATCH(orders!$D245, products!$A$1:$A$49, 0), MATCH(orders!K$1, products!$A$1:$G$1, 0))</f>
        <v>0.5</v>
      </c>
      <c r="L245" s="5">
        <f>INDEX(products!$A$1:$G$49, MATCH(orders!$D245, products!$A$1:$A$49, 0), MATCH(orders!L$1, products!$A$1:$G$1, 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 MATCH(orders!$D246, products!$A$1:$A$49, 0), MATCH(orders!I$1, products!$A$1:$G$1, 0))</f>
        <v>Lib</v>
      </c>
      <c r="J246" t="str">
        <f>INDEX(products!$A$1:$G$49, MATCH(orders!$D246, products!$A$1:$A$49, 0), MATCH(orders!J$1, products!$A$1:$G$1, 0))</f>
        <v>M</v>
      </c>
      <c r="K246" s="4">
        <f>INDEX(products!$A$1:$G$49, MATCH(orders!$D246, products!$A$1:$A$49, 0), MATCH(orders!K$1, products!$A$1:$G$1, 0))</f>
        <v>2.5</v>
      </c>
      <c r="L246" s="5">
        <f>INDEX(products!$A$1:$G$49, MATCH(orders!$D246, products!$A$1:$A$49, 0), MATCH(orders!L$1, products!$A$1:$G$1, 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 MATCH(orders!$D247, products!$A$1:$A$49, 0), MATCH(orders!I$1, products!$A$1:$G$1, 0))</f>
        <v>Lib</v>
      </c>
      <c r="J247" t="str">
        <f>INDEX(products!$A$1:$G$49, MATCH(orders!$D247, products!$A$1:$A$49, 0), MATCH(orders!J$1, products!$A$1:$G$1, 0))</f>
        <v>L</v>
      </c>
      <c r="K247" s="4">
        <f>INDEX(products!$A$1:$G$49, MATCH(orders!$D247, products!$A$1:$A$49, 0), MATCH(orders!K$1, products!$A$1:$G$1, 0))</f>
        <v>0.2</v>
      </c>
      <c r="L247" s="5">
        <f>INDEX(products!$A$1:$G$49, MATCH(orders!$D247, products!$A$1:$A$49, 0), MATCH(orders!L$1, products!$A$1:$G$1, 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 MATCH(orders!$D248, products!$A$1:$A$49, 0), MATCH(orders!I$1, products!$A$1:$G$1, 0))</f>
        <v>Lib</v>
      </c>
      <c r="J248" t="str">
        <f>INDEX(products!$A$1:$G$49, MATCH(orders!$D248, products!$A$1:$A$49, 0), MATCH(orders!J$1, products!$A$1:$G$1, 0))</f>
        <v>D</v>
      </c>
      <c r="K248" s="4">
        <f>INDEX(products!$A$1:$G$49, MATCH(orders!$D248, products!$A$1:$A$49, 0), MATCH(orders!K$1, products!$A$1:$G$1, 0))</f>
        <v>1</v>
      </c>
      <c r="L248" s="5">
        <f>INDEX(products!$A$1:$G$49, MATCH(orders!$D248, products!$A$1:$A$49, 0), MATCH(orders!L$1, products!$A$1:$G$1, 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 MATCH(orders!$D249, products!$A$1:$A$49, 0), MATCH(orders!I$1, products!$A$1:$G$1, 0))</f>
        <v>Rob</v>
      </c>
      <c r="J249" t="str">
        <f>INDEX(products!$A$1:$G$49, MATCH(orders!$D249, products!$A$1:$A$49, 0), MATCH(orders!J$1, products!$A$1:$G$1, 0))</f>
        <v>L</v>
      </c>
      <c r="K249" s="4">
        <f>INDEX(products!$A$1:$G$49, MATCH(orders!$D249, products!$A$1:$A$49, 0), MATCH(orders!K$1, products!$A$1:$G$1, 0))</f>
        <v>0.2</v>
      </c>
      <c r="L249" s="5">
        <f>INDEX(products!$A$1:$G$49, MATCH(orders!$D249, products!$A$1:$A$49, 0), MATCH(orders!L$1, products!$A$1:$G$1, 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 MATCH(orders!$D250, products!$A$1:$A$49, 0), MATCH(orders!I$1, products!$A$1:$G$1, 0))</f>
        <v>Ara</v>
      </c>
      <c r="J250" t="str">
        <f>INDEX(products!$A$1:$G$49, MATCH(orders!$D250, products!$A$1:$A$49, 0), MATCH(orders!J$1, products!$A$1:$G$1, 0))</f>
        <v>D</v>
      </c>
      <c r="K250" s="4">
        <f>INDEX(products!$A$1:$G$49, MATCH(orders!$D250, products!$A$1:$A$49, 0), MATCH(orders!K$1, products!$A$1:$G$1, 0))</f>
        <v>1</v>
      </c>
      <c r="L250" s="5">
        <f>INDEX(products!$A$1:$G$49, MATCH(orders!$D250, products!$A$1:$A$49, 0), MATCH(orders!L$1, products!$A$1:$G$1, 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 MATCH(orders!$D251, products!$A$1:$A$49, 0), MATCH(orders!I$1, products!$A$1:$G$1, 0))</f>
        <v>Lib</v>
      </c>
      <c r="J251" t="str">
        <f>INDEX(products!$A$1:$G$49, MATCH(orders!$D251, products!$A$1:$A$49, 0), MATCH(orders!J$1, products!$A$1:$G$1, 0))</f>
        <v>L</v>
      </c>
      <c r="K251" s="4">
        <f>INDEX(products!$A$1:$G$49, MATCH(orders!$D251, products!$A$1:$A$49, 0), MATCH(orders!K$1, products!$A$1:$G$1, 0))</f>
        <v>1</v>
      </c>
      <c r="L251" s="5">
        <f>INDEX(products!$A$1:$G$49, MATCH(orders!$D251, products!$A$1:$A$49, 0), MATCH(orders!L$1, products!$A$1:$G$1, 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 MATCH(orders!$D252, products!$A$1:$A$49, 0), MATCH(orders!I$1, products!$A$1:$G$1, 0))</f>
        <v>Rob</v>
      </c>
      <c r="J252" t="str">
        <f>INDEX(products!$A$1:$G$49, MATCH(orders!$D252, products!$A$1:$A$49, 0), MATCH(orders!J$1, products!$A$1:$G$1, 0))</f>
        <v>M</v>
      </c>
      <c r="K252" s="4">
        <f>INDEX(products!$A$1:$G$49, MATCH(orders!$D252, products!$A$1:$A$49, 0), MATCH(orders!K$1, products!$A$1:$G$1, 0))</f>
        <v>0.2</v>
      </c>
      <c r="L252" s="5">
        <f>INDEX(products!$A$1:$G$49, MATCH(orders!$D252, products!$A$1:$A$49, 0), MATCH(orders!L$1, products!$A$1:$G$1, 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 MATCH(orders!$D253, products!$A$1:$A$49, 0), MATCH(orders!I$1, products!$A$1:$G$1, 0))</f>
        <v>Exc</v>
      </c>
      <c r="J253" t="str">
        <f>INDEX(products!$A$1:$G$49, MATCH(orders!$D253, products!$A$1:$A$49, 0), MATCH(orders!J$1, products!$A$1:$G$1, 0))</f>
        <v>M</v>
      </c>
      <c r="K253" s="4">
        <f>INDEX(products!$A$1:$G$49, MATCH(orders!$D253, products!$A$1:$A$49, 0), MATCH(orders!K$1, products!$A$1:$G$1, 0))</f>
        <v>1</v>
      </c>
      <c r="L253" s="5">
        <f>INDEX(products!$A$1:$G$49, MATCH(orders!$D253, products!$A$1:$A$49, 0), MATCH(orders!L$1, products!$A$1:$G$1, 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 MATCH(orders!$D254, products!$A$1:$A$49, 0), MATCH(orders!I$1, products!$A$1:$G$1, 0))</f>
        <v>Ara</v>
      </c>
      <c r="J254" t="str">
        <f>INDEX(products!$A$1:$G$49, MATCH(orders!$D254, products!$A$1:$A$49, 0), MATCH(orders!J$1, products!$A$1:$G$1, 0))</f>
        <v>D</v>
      </c>
      <c r="K254" s="4">
        <f>INDEX(products!$A$1:$G$49, MATCH(orders!$D254, products!$A$1:$A$49, 0), MATCH(orders!K$1, products!$A$1:$G$1, 0))</f>
        <v>1</v>
      </c>
      <c r="L254" s="5">
        <f>INDEX(products!$A$1:$G$49, MATCH(orders!$D254, products!$A$1:$A$49, 0), MATCH(orders!L$1, products!$A$1:$G$1, 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 MATCH(orders!$D255, products!$A$1:$A$49, 0), MATCH(orders!I$1, products!$A$1:$G$1, 0))</f>
        <v>Lib</v>
      </c>
      <c r="J255" t="str">
        <f>INDEX(products!$A$1:$G$49, MATCH(orders!$D255, products!$A$1:$A$49, 0), MATCH(orders!J$1, products!$A$1:$G$1, 0))</f>
        <v>M</v>
      </c>
      <c r="K255" s="4">
        <f>INDEX(products!$A$1:$G$49, MATCH(orders!$D255, products!$A$1:$A$49, 0), MATCH(orders!K$1, products!$A$1:$G$1, 0))</f>
        <v>1</v>
      </c>
      <c r="L255" s="5">
        <f>INDEX(products!$A$1:$G$49, MATCH(orders!$D255, products!$A$1:$A$49, 0), MATCH(orders!L$1, products!$A$1:$G$1, 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 MATCH(orders!$D256, products!$A$1:$A$49, 0), MATCH(orders!I$1, products!$A$1:$G$1, 0))</f>
        <v>Rob</v>
      </c>
      <c r="J256" t="str">
        <f>INDEX(products!$A$1:$G$49, MATCH(orders!$D256, products!$A$1:$A$49, 0), MATCH(orders!J$1, products!$A$1:$G$1, 0))</f>
        <v>L</v>
      </c>
      <c r="K256" s="4">
        <f>INDEX(products!$A$1:$G$49, MATCH(orders!$D256, products!$A$1:$A$49, 0), MATCH(orders!K$1, products!$A$1:$G$1, 0))</f>
        <v>0.5</v>
      </c>
      <c r="L256" s="5">
        <f>INDEX(products!$A$1:$G$49, MATCH(orders!$D256, products!$A$1:$A$49, 0), MATCH(orders!L$1, products!$A$1:$G$1, 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 MATCH(orders!$D257, products!$A$1:$A$49, 0), MATCH(orders!I$1, products!$A$1:$G$1, 0))</f>
        <v>Rob</v>
      </c>
      <c r="J257" t="str">
        <f>INDEX(products!$A$1:$G$49, MATCH(orders!$D257, products!$A$1:$A$49, 0), MATCH(orders!J$1, products!$A$1:$G$1, 0))</f>
        <v>L</v>
      </c>
      <c r="K257" s="4">
        <f>INDEX(products!$A$1:$G$49, MATCH(orders!$D257, products!$A$1:$A$49, 0), MATCH(orders!K$1, products!$A$1:$G$1, 0))</f>
        <v>0.5</v>
      </c>
      <c r="L257" s="5">
        <f>INDEX(products!$A$1:$G$49, MATCH(orders!$D257, products!$A$1:$A$49, 0), MATCH(orders!L$1, products!$A$1:$G$1, 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 MATCH(orders!$D258, products!$A$1:$A$49, 0), MATCH(orders!I$1, products!$A$1:$G$1, 0))</f>
        <v>Lib</v>
      </c>
      <c r="J258" t="str">
        <f>INDEX(products!$A$1:$G$49, MATCH(orders!$D258, products!$A$1:$A$49, 0), MATCH(orders!J$1, products!$A$1:$G$1, 0))</f>
        <v>M</v>
      </c>
      <c r="K258" s="4">
        <f>INDEX(products!$A$1:$G$49, MATCH(orders!$D258, products!$A$1:$A$49, 0), MATCH(orders!K$1, products!$A$1:$G$1, 0))</f>
        <v>0.5</v>
      </c>
      <c r="L258" s="5">
        <f>INDEX(products!$A$1:$G$49, MATCH(orders!$D258, products!$A$1:$A$49, 0), MATCH(orders!L$1, products!$A$1:$G$1, 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 MATCH(orders!$D259, products!$A$1:$A$49, 0), MATCH(orders!I$1, products!$A$1:$G$1, 0))</f>
        <v>Exc</v>
      </c>
      <c r="J259" t="str">
        <f>INDEX(products!$A$1:$G$49, MATCH(orders!$D259, products!$A$1:$A$49, 0), MATCH(orders!J$1, products!$A$1:$G$1, 0))</f>
        <v>D</v>
      </c>
      <c r="K259" s="4">
        <f>INDEX(products!$A$1:$G$49, MATCH(orders!$D259, products!$A$1:$A$49, 0), MATCH(orders!K$1, products!$A$1:$G$1, 0))</f>
        <v>2.5</v>
      </c>
      <c r="L259" s="5">
        <f>INDEX(products!$A$1:$G$49, MATCH(orders!$D259, products!$A$1:$A$49, 0), MATCH(orders!L$1, products!$A$1:$G$1, 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 MATCH(orders!$D260, products!$A$1:$A$49, 0), MATCH(orders!I$1, products!$A$1:$G$1, 0))</f>
        <v>Exc</v>
      </c>
      <c r="J260" t="str">
        <f>INDEX(products!$A$1:$G$49, MATCH(orders!$D260, products!$A$1:$A$49, 0), MATCH(orders!J$1, products!$A$1:$G$1, 0))</f>
        <v>D</v>
      </c>
      <c r="K260" s="4">
        <f>INDEX(products!$A$1:$G$49, MATCH(orders!$D260, products!$A$1:$A$49, 0), MATCH(orders!K$1, products!$A$1:$G$1, 0))</f>
        <v>2.5</v>
      </c>
      <c r="L260" s="5">
        <f>INDEX(products!$A$1:$G$49, MATCH(orders!$D260, products!$A$1:$A$49, 0), MATCH(orders!L$1, products!$A$1:$G$1, 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 MATCH(orders!$D261, products!$A$1:$A$49, 0), MATCH(orders!I$1, products!$A$1:$G$1, 0))</f>
        <v>Rob</v>
      </c>
      <c r="J261" t="str">
        <f>INDEX(products!$A$1:$G$49, MATCH(orders!$D261, products!$A$1:$A$49, 0), MATCH(orders!J$1, products!$A$1:$G$1, 0))</f>
        <v>M</v>
      </c>
      <c r="K261" s="4">
        <f>INDEX(products!$A$1:$G$49, MATCH(orders!$D261, products!$A$1:$A$49, 0), MATCH(orders!K$1, products!$A$1:$G$1, 0))</f>
        <v>0.2</v>
      </c>
      <c r="L261" s="5">
        <f>INDEX(products!$A$1:$G$49, MATCH(orders!$D261, products!$A$1:$A$49, 0), MATCH(orders!L$1, products!$A$1:$G$1, 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 MATCH(orders!$D262, products!$A$1:$A$49, 0), MATCH(orders!I$1, products!$A$1:$G$1, 0))</f>
        <v>Rob</v>
      </c>
      <c r="J262" t="str">
        <f>INDEX(products!$A$1:$G$49, MATCH(orders!$D262, products!$A$1:$A$49, 0), MATCH(orders!J$1, products!$A$1:$G$1, 0))</f>
        <v>L</v>
      </c>
      <c r="K262" s="4">
        <f>INDEX(products!$A$1:$G$49, MATCH(orders!$D262, products!$A$1:$A$49, 0), MATCH(orders!K$1, products!$A$1:$G$1, 0))</f>
        <v>2.5</v>
      </c>
      <c r="L262" s="5">
        <f>INDEX(products!$A$1:$G$49, MATCH(orders!$D262, products!$A$1:$A$49, 0), MATCH(orders!L$1, products!$A$1:$G$1, 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 MATCH(orders!$D263, products!$A$1:$A$49, 0), MATCH(orders!I$1, products!$A$1:$G$1, 0))</f>
        <v>Rob</v>
      </c>
      <c r="J263" t="str">
        <f>INDEX(products!$A$1:$G$49, MATCH(orders!$D263, products!$A$1:$A$49, 0), MATCH(orders!J$1, products!$A$1:$G$1, 0))</f>
        <v>L</v>
      </c>
      <c r="K263" s="4">
        <f>INDEX(products!$A$1:$G$49, MATCH(orders!$D263, products!$A$1:$A$49, 0), MATCH(orders!K$1, products!$A$1:$G$1, 0))</f>
        <v>1</v>
      </c>
      <c r="L263" s="5">
        <f>INDEX(products!$A$1:$G$49, MATCH(orders!$D263, products!$A$1:$A$49, 0), MATCH(orders!L$1, products!$A$1:$G$1, 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 MATCH(orders!$D264, products!$A$1:$A$49, 0), MATCH(orders!I$1, products!$A$1:$G$1, 0))</f>
        <v>Exc</v>
      </c>
      <c r="J264" t="str">
        <f>INDEX(products!$A$1:$G$49, MATCH(orders!$D264, products!$A$1:$A$49, 0), MATCH(orders!J$1, products!$A$1:$G$1, 0))</f>
        <v>M</v>
      </c>
      <c r="K264" s="4">
        <f>INDEX(products!$A$1:$G$49, MATCH(orders!$D264, products!$A$1:$A$49, 0), MATCH(orders!K$1, products!$A$1:$G$1, 0))</f>
        <v>1</v>
      </c>
      <c r="L264" s="5">
        <f>INDEX(products!$A$1:$G$49, MATCH(orders!$D264, products!$A$1:$A$49, 0), MATCH(orders!L$1, products!$A$1:$G$1, 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 MATCH(orders!$D265, products!$A$1:$A$49, 0), MATCH(orders!I$1, products!$A$1:$G$1, 0))</f>
        <v>Lib</v>
      </c>
      <c r="J265" t="str">
        <f>INDEX(products!$A$1:$G$49, MATCH(orders!$D265, products!$A$1:$A$49, 0), MATCH(orders!J$1, products!$A$1:$G$1, 0))</f>
        <v>M</v>
      </c>
      <c r="K265" s="4">
        <f>INDEX(products!$A$1:$G$49, MATCH(orders!$D265, products!$A$1:$A$49, 0), MATCH(orders!K$1, products!$A$1:$G$1, 0))</f>
        <v>2.5</v>
      </c>
      <c r="L265" s="5">
        <f>INDEX(products!$A$1:$G$49, MATCH(orders!$D265, products!$A$1:$A$49, 0), MATCH(orders!L$1, products!$A$1:$G$1, 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 MATCH(orders!$D266, products!$A$1:$A$49, 0), MATCH(orders!I$1, products!$A$1:$G$1, 0))</f>
        <v>Rob</v>
      </c>
      <c r="J266" t="str">
        <f>INDEX(products!$A$1:$G$49, MATCH(orders!$D266, products!$A$1:$A$49, 0), MATCH(orders!J$1, products!$A$1:$G$1, 0))</f>
        <v>L</v>
      </c>
      <c r="K266" s="4">
        <f>INDEX(products!$A$1:$G$49, MATCH(orders!$D266, products!$A$1:$A$49, 0), MATCH(orders!K$1, products!$A$1:$G$1, 0))</f>
        <v>1</v>
      </c>
      <c r="L266" s="5">
        <f>INDEX(products!$A$1:$G$49, MATCH(orders!$D266, products!$A$1:$A$49, 0), MATCH(orders!L$1, products!$A$1:$G$1, 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 MATCH(orders!$D267, products!$A$1:$A$49, 0), MATCH(orders!I$1, products!$A$1:$G$1, 0))</f>
        <v>Ara</v>
      </c>
      <c r="J267" t="str">
        <f>INDEX(products!$A$1:$G$49, MATCH(orders!$D267, products!$A$1:$A$49, 0), MATCH(orders!J$1, products!$A$1:$G$1, 0))</f>
        <v>D</v>
      </c>
      <c r="K267" s="4">
        <f>INDEX(products!$A$1:$G$49, MATCH(orders!$D267, products!$A$1:$A$49, 0), MATCH(orders!K$1, products!$A$1:$G$1, 0))</f>
        <v>0.5</v>
      </c>
      <c r="L267" s="5">
        <f>INDEX(products!$A$1:$G$49, MATCH(orders!$D267, products!$A$1:$A$49, 0), MATCH(orders!L$1, products!$A$1:$G$1, 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 MATCH(orders!$D268, products!$A$1:$A$49, 0), MATCH(orders!I$1, products!$A$1:$G$1, 0))</f>
        <v>Exc</v>
      </c>
      <c r="J268" t="str">
        <f>INDEX(products!$A$1:$G$49, MATCH(orders!$D268, products!$A$1:$A$49, 0), MATCH(orders!J$1, products!$A$1:$G$1, 0))</f>
        <v>D</v>
      </c>
      <c r="K268" s="4">
        <f>INDEX(products!$A$1:$G$49, MATCH(orders!$D268, products!$A$1:$A$49, 0), MATCH(orders!K$1, products!$A$1:$G$1, 0))</f>
        <v>1</v>
      </c>
      <c r="L268" s="5">
        <f>INDEX(products!$A$1:$G$49, MATCH(orders!$D268, products!$A$1:$A$49, 0), MATCH(orders!L$1, products!$A$1:$G$1, 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 MATCH(orders!$D269, products!$A$1:$A$49, 0), MATCH(orders!I$1, products!$A$1:$G$1, 0))</f>
        <v>Exc</v>
      </c>
      <c r="J269" t="str">
        <f>INDEX(products!$A$1:$G$49, MATCH(orders!$D269, products!$A$1:$A$49, 0), MATCH(orders!J$1, products!$A$1:$G$1, 0))</f>
        <v>D</v>
      </c>
      <c r="K269" s="4">
        <f>INDEX(products!$A$1:$G$49, MATCH(orders!$D269, products!$A$1:$A$49, 0), MATCH(orders!K$1, products!$A$1:$G$1, 0))</f>
        <v>0.2</v>
      </c>
      <c r="L269" s="5">
        <f>INDEX(products!$A$1:$G$49, MATCH(orders!$D269, products!$A$1:$A$49, 0), MATCH(orders!L$1, products!$A$1:$G$1, 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 MATCH(orders!$D270, products!$A$1:$A$49, 0), MATCH(orders!I$1, products!$A$1:$G$1, 0))</f>
        <v>Ara</v>
      </c>
      <c r="J270" t="str">
        <f>INDEX(products!$A$1:$G$49, MATCH(orders!$D270, products!$A$1:$A$49, 0), MATCH(orders!J$1, products!$A$1:$G$1, 0))</f>
        <v>D</v>
      </c>
      <c r="K270" s="4">
        <f>INDEX(products!$A$1:$G$49, MATCH(orders!$D270, products!$A$1:$A$49, 0), MATCH(orders!K$1, products!$A$1:$G$1, 0))</f>
        <v>1</v>
      </c>
      <c r="L270" s="5">
        <f>INDEX(products!$A$1:$G$49, MATCH(orders!$D270, products!$A$1:$A$49, 0), MATCH(orders!L$1, products!$A$1:$G$1, 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 MATCH(orders!$D271, products!$A$1:$A$49, 0), MATCH(orders!I$1, products!$A$1:$G$1, 0))</f>
        <v>Ara</v>
      </c>
      <c r="J271" t="str">
        <f>INDEX(products!$A$1:$G$49, MATCH(orders!$D271, products!$A$1:$A$49, 0), MATCH(orders!J$1, products!$A$1:$G$1, 0))</f>
        <v>D</v>
      </c>
      <c r="K271" s="4">
        <f>INDEX(products!$A$1:$G$49, MATCH(orders!$D271, products!$A$1:$A$49, 0), MATCH(orders!K$1, products!$A$1:$G$1, 0))</f>
        <v>0.2</v>
      </c>
      <c r="L271" s="5">
        <f>INDEX(products!$A$1:$G$49, MATCH(orders!$D271, products!$A$1:$A$49, 0), MATCH(orders!L$1, products!$A$1:$G$1, 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 MATCH(orders!$D272, products!$A$1:$A$49, 0), MATCH(orders!I$1, products!$A$1:$G$1, 0))</f>
        <v>Exc</v>
      </c>
      <c r="J272" t="str">
        <f>INDEX(products!$A$1:$G$49, MATCH(orders!$D272, products!$A$1:$A$49, 0), MATCH(orders!J$1, products!$A$1:$G$1, 0))</f>
        <v>D</v>
      </c>
      <c r="K272" s="4">
        <f>INDEX(products!$A$1:$G$49, MATCH(orders!$D272, products!$A$1:$A$49, 0), MATCH(orders!K$1, products!$A$1:$G$1, 0))</f>
        <v>0.5</v>
      </c>
      <c r="L272" s="5">
        <f>INDEX(products!$A$1:$G$49, MATCH(orders!$D272, products!$A$1:$A$49, 0), MATCH(orders!L$1, products!$A$1:$G$1, 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 MATCH(orders!$D273, products!$A$1:$A$49, 0), MATCH(orders!I$1, products!$A$1:$G$1, 0))</f>
        <v>Ara</v>
      </c>
      <c r="J273" t="str">
        <f>INDEX(products!$A$1:$G$49, MATCH(orders!$D273, products!$A$1:$A$49, 0), MATCH(orders!J$1, products!$A$1:$G$1, 0))</f>
        <v>D</v>
      </c>
      <c r="K273" s="4">
        <f>INDEX(products!$A$1:$G$49, MATCH(orders!$D273, products!$A$1:$A$49, 0), MATCH(orders!K$1, products!$A$1:$G$1, 0))</f>
        <v>0.2</v>
      </c>
      <c r="L273" s="5">
        <f>INDEX(products!$A$1:$G$49, MATCH(orders!$D273, products!$A$1:$A$49, 0), MATCH(orders!L$1, products!$A$1:$G$1, 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 MATCH(orders!$D274, products!$A$1:$A$49, 0), MATCH(orders!I$1, products!$A$1:$G$1, 0))</f>
        <v>Rob</v>
      </c>
      <c r="J274" t="str">
        <f>INDEX(products!$A$1:$G$49, MATCH(orders!$D274, products!$A$1:$A$49, 0), MATCH(orders!J$1, products!$A$1:$G$1, 0))</f>
        <v>L</v>
      </c>
      <c r="K274" s="4">
        <f>INDEX(products!$A$1:$G$49, MATCH(orders!$D274, products!$A$1:$A$49, 0), MATCH(orders!K$1, products!$A$1:$G$1, 0))</f>
        <v>1</v>
      </c>
      <c r="L274" s="5">
        <f>INDEX(products!$A$1:$G$49, MATCH(orders!$D274, products!$A$1:$A$49, 0), MATCH(orders!L$1, products!$A$1:$G$1, 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 MATCH(orders!$D275, products!$A$1:$A$49, 0), MATCH(orders!I$1, products!$A$1:$G$1, 0))</f>
        <v>Ara</v>
      </c>
      <c r="J275" t="str">
        <f>INDEX(products!$A$1:$G$49, MATCH(orders!$D275, products!$A$1:$A$49, 0), MATCH(orders!J$1, products!$A$1:$G$1, 0))</f>
        <v>L</v>
      </c>
      <c r="K275" s="4">
        <f>INDEX(products!$A$1:$G$49, MATCH(orders!$D275, products!$A$1:$A$49, 0), MATCH(orders!K$1, products!$A$1:$G$1, 0))</f>
        <v>0.2</v>
      </c>
      <c r="L275" s="5">
        <f>INDEX(products!$A$1:$G$49, MATCH(orders!$D275, products!$A$1:$A$49, 0), MATCH(orders!L$1, products!$A$1:$G$1, 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 MATCH(orders!$D276, products!$A$1:$A$49, 0), MATCH(orders!I$1, products!$A$1:$G$1, 0))</f>
        <v>Ara</v>
      </c>
      <c r="J276" t="str">
        <f>INDEX(products!$A$1:$G$49, MATCH(orders!$D276, products!$A$1:$A$49, 0), MATCH(orders!J$1, products!$A$1:$G$1, 0))</f>
        <v>M</v>
      </c>
      <c r="K276" s="4">
        <f>INDEX(products!$A$1:$G$49, MATCH(orders!$D276, products!$A$1:$A$49, 0), MATCH(orders!K$1, products!$A$1:$G$1, 0))</f>
        <v>2.5</v>
      </c>
      <c r="L276" s="5">
        <f>INDEX(products!$A$1:$G$49, MATCH(orders!$D276, products!$A$1:$A$49, 0), MATCH(orders!L$1, products!$A$1:$G$1, 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 MATCH(orders!$D277, products!$A$1:$A$49, 0), MATCH(orders!I$1, products!$A$1:$G$1, 0))</f>
        <v>Exc</v>
      </c>
      <c r="J277" t="str">
        <f>INDEX(products!$A$1:$G$49, MATCH(orders!$D277, products!$A$1:$A$49, 0), MATCH(orders!J$1, products!$A$1:$G$1, 0))</f>
        <v>L</v>
      </c>
      <c r="K277" s="4">
        <f>INDEX(products!$A$1:$G$49, MATCH(orders!$D277, products!$A$1:$A$49, 0), MATCH(orders!K$1, products!$A$1:$G$1, 0))</f>
        <v>2.5</v>
      </c>
      <c r="L277" s="5">
        <f>INDEX(products!$A$1:$G$49, MATCH(orders!$D277, products!$A$1:$A$49, 0), MATCH(orders!L$1, products!$A$1:$G$1, 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 MATCH(orders!$D278, products!$A$1:$A$49, 0), MATCH(orders!I$1, products!$A$1:$G$1, 0))</f>
        <v>Rob</v>
      </c>
      <c r="J278" t="str">
        <f>INDEX(products!$A$1:$G$49, MATCH(orders!$D278, products!$A$1:$A$49, 0), MATCH(orders!J$1, products!$A$1:$G$1, 0))</f>
        <v>L</v>
      </c>
      <c r="K278" s="4">
        <f>INDEX(products!$A$1:$G$49, MATCH(orders!$D278, products!$A$1:$A$49, 0), MATCH(orders!K$1, products!$A$1:$G$1, 0))</f>
        <v>2.5</v>
      </c>
      <c r="L278" s="5">
        <f>INDEX(products!$A$1:$G$49, MATCH(orders!$D278, products!$A$1:$A$49, 0), MATCH(orders!L$1, products!$A$1:$G$1, 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 MATCH(orders!$D279, products!$A$1:$A$49, 0), MATCH(orders!I$1, products!$A$1:$G$1, 0))</f>
        <v>Exc</v>
      </c>
      <c r="J279" t="str">
        <f>INDEX(products!$A$1:$G$49, MATCH(orders!$D279, products!$A$1:$A$49, 0), MATCH(orders!J$1, products!$A$1:$G$1, 0))</f>
        <v>L</v>
      </c>
      <c r="K279" s="4">
        <f>INDEX(products!$A$1:$G$49, MATCH(orders!$D279, products!$A$1:$A$49, 0), MATCH(orders!K$1, products!$A$1:$G$1, 0))</f>
        <v>1</v>
      </c>
      <c r="L279" s="5">
        <f>INDEX(products!$A$1:$G$49, MATCH(orders!$D279, products!$A$1:$A$49, 0), MATCH(orders!L$1, products!$A$1:$G$1, 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 MATCH(orders!$D280, products!$A$1:$A$49, 0), MATCH(orders!I$1, products!$A$1:$G$1, 0))</f>
        <v>Ara</v>
      </c>
      <c r="J280" t="str">
        <f>INDEX(products!$A$1:$G$49, MATCH(orders!$D280, products!$A$1:$A$49, 0), MATCH(orders!J$1, products!$A$1:$G$1, 0))</f>
        <v>L</v>
      </c>
      <c r="K280" s="4">
        <f>INDEX(products!$A$1:$G$49, MATCH(orders!$D280, products!$A$1:$A$49, 0), MATCH(orders!K$1, products!$A$1:$G$1, 0))</f>
        <v>0.2</v>
      </c>
      <c r="L280" s="5">
        <f>INDEX(products!$A$1:$G$49, MATCH(orders!$D280, products!$A$1:$A$49, 0), MATCH(orders!L$1, products!$A$1:$G$1, 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 MATCH(orders!$D281, products!$A$1:$A$49, 0), MATCH(orders!I$1, products!$A$1:$G$1, 0))</f>
        <v>Lib</v>
      </c>
      <c r="J281" t="str">
        <f>INDEX(products!$A$1:$G$49, MATCH(orders!$D281, products!$A$1:$A$49, 0), MATCH(orders!J$1, products!$A$1:$G$1, 0))</f>
        <v>M</v>
      </c>
      <c r="K281" s="4">
        <f>INDEX(products!$A$1:$G$49, MATCH(orders!$D281, products!$A$1:$A$49, 0), MATCH(orders!K$1, products!$A$1:$G$1, 0))</f>
        <v>2.5</v>
      </c>
      <c r="L281" s="5">
        <f>INDEX(products!$A$1:$G$49, MATCH(orders!$D281, products!$A$1:$A$49, 0), MATCH(orders!L$1, products!$A$1:$G$1, 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 MATCH(orders!$D282, products!$A$1:$A$49, 0), MATCH(orders!I$1, products!$A$1:$G$1, 0))</f>
        <v>Exc</v>
      </c>
      <c r="J282" t="str">
        <f>INDEX(products!$A$1:$G$49, MATCH(orders!$D282, products!$A$1:$A$49, 0), MATCH(orders!J$1, products!$A$1:$G$1, 0))</f>
        <v>M</v>
      </c>
      <c r="K282" s="4">
        <f>INDEX(products!$A$1:$G$49, MATCH(orders!$D282, products!$A$1:$A$49, 0), MATCH(orders!K$1, products!$A$1:$G$1, 0))</f>
        <v>0.5</v>
      </c>
      <c r="L282" s="5">
        <f>INDEX(products!$A$1:$G$49, MATCH(orders!$D282, products!$A$1:$A$49, 0), MATCH(orders!L$1, products!$A$1:$G$1, 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 MATCH(orders!$D283, products!$A$1:$A$49, 0), MATCH(orders!I$1, products!$A$1:$G$1, 0))</f>
        <v>Exc</v>
      </c>
      <c r="J283" t="str">
        <f>INDEX(products!$A$1:$G$49, MATCH(orders!$D283, products!$A$1:$A$49, 0), MATCH(orders!J$1, products!$A$1:$G$1, 0))</f>
        <v>L</v>
      </c>
      <c r="K283" s="4">
        <f>INDEX(products!$A$1:$G$49, MATCH(orders!$D283, products!$A$1:$A$49, 0), MATCH(orders!K$1, products!$A$1:$G$1, 0))</f>
        <v>1</v>
      </c>
      <c r="L283" s="5">
        <f>INDEX(products!$A$1:$G$49, MATCH(orders!$D283, products!$A$1:$A$49, 0), MATCH(orders!L$1, products!$A$1:$G$1, 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 MATCH(orders!$D284, products!$A$1:$A$49, 0), MATCH(orders!I$1, products!$A$1:$G$1, 0))</f>
        <v>Ara</v>
      </c>
      <c r="J284" t="str">
        <f>INDEX(products!$A$1:$G$49, MATCH(orders!$D284, products!$A$1:$A$49, 0), MATCH(orders!J$1, products!$A$1:$G$1, 0))</f>
        <v>L</v>
      </c>
      <c r="K284" s="4">
        <f>INDEX(products!$A$1:$G$49, MATCH(orders!$D284, products!$A$1:$A$49, 0), MATCH(orders!K$1, products!$A$1:$G$1, 0))</f>
        <v>0.5</v>
      </c>
      <c r="L284" s="5">
        <f>INDEX(products!$A$1:$G$49, MATCH(orders!$D284, products!$A$1:$A$49, 0), MATCH(orders!L$1, products!$A$1:$G$1, 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 MATCH(orders!$D285, products!$A$1:$A$49, 0), MATCH(orders!I$1, products!$A$1:$G$1, 0))</f>
        <v>Rob</v>
      </c>
      <c r="J285" t="str">
        <f>INDEX(products!$A$1:$G$49, MATCH(orders!$D285, products!$A$1:$A$49, 0), MATCH(orders!J$1, products!$A$1:$G$1, 0))</f>
        <v>D</v>
      </c>
      <c r="K285" s="4">
        <f>INDEX(products!$A$1:$G$49, MATCH(orders!$D285, products!$A$1:$A$49, 0), MATCH(orders!K$1, products!$A$1:$G$1, 0))</f>
        <v>0.5</v>
      </c>
      <c r="L285" s="5">
        <f>INDEX(products!$A$1:$G$49, MATCH(orders!$D285, products!$A$1:$A$49, 0), MATCH(orders!L$1, products!$A$1:$G$1, 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 MATCH(orders!$D286, products!$A$1:$A$49, 0), MATCH(orders!I$1, products!$A$1:$G$1, 0))</f>
        <v>Exc</v>
      </c>
      <c r="J286" t="str">
        <f>INDEX(products!$A$1:$G$49, MATCH(orders!$D286, products!$A$1:$A$49, 0), MATCH(orders!J$1, products!$A$1:$G$1, 0))</f>
        <v>M</v>
      </c>
      <c r="K286" s="4">
        <f>INDEX(products!$A$1:$G$49, MATCH(orders!$D286, products!$A$1:$A$49, 0), MATCH(orders!K$1, products!$A$1:$G$1, 0))</f>
        <v>2.5</v>
      </c>
      <c r="L286" s="5">
        <f>INDEX(products!$A$1:$G$49, MATCH(orders!$D286, products!$A$1:$A$49, 0), MATCH(orders!L$1, products!$A$1:$G$1, 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 MATCH(orders!$D287, products!$A$1:$A$49, 0), MATCH(orders!I$1, products!$A$1:$G$1, 0))</f>
        <v>Lib</v>
      </c>
      <c r="J287" t="str">
        <f>INDEX(products!$A$1:$G$49, MATCH(orders!$D287, products!$A$1:$A$49, 0), MATCH(orders!J$1, products!$A$1:$G$1, 0))</f>
        <v>L</v>
      </c>
      <c r="K287" s="4">
        <f>INDEX(products!$A$1:$G$49, MATCH(orders!$D287, products!$A$1:$A$49, 0), MATCH(orders!K$1, products!$A$1:$G$1, 0))</f>
        <v>2.5</v>
      </c>
      <c r="L287" s="5">
        <f>INDEX(products!$A$1:$G$49, MATCH(orders!$D287, products!$A$1:$A$49, 0), MATCH(orders!L$1, products!$A$1:$G$1, 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 MATCH(orders!$D288, products!$A$1:$A$49, 0), MATCH(orders!I$1, products!$A$1:$G$1, 0))</f>
        <v>Ara</v>
      </c>
      <c r="J288" t="str">
        <f>INDEX(products!$A$1:$G$49, MATCH(orders!$D288, products!$A$1:$A$49, 0), MATCH(orders!J$1, products!$A$1:$G$1, 0))</f>
        <v>M</v>
      </c>
      <c r="K288" s="4">
        <f>INDEX(products!$A$1:$G$49, MATCH(orders!$D288, products!$A$1:$A$49, 0), MATCH(orders!K$1, products!$A$1:$G$1, 0))</f>
        <v>0.2</v>
      </c>
      <c r="L288" s="5">
        <f>INDEX(products!$A$1:$G$49, MATCH(orders!$D288, products!$A$1:$A$49, 0), MATCH(orders!L$1, products!$A$1:$G$1, 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 MATCH(orders!$D289, products!$A$1:$A$49, 0), MATCH(orders!I$1, products!$A$1:$G$1, 0))</f>
        <v>Rob</v>
      </c>
      <c r="J289" t="str">
        <f>INDEX(products!$A$1:$G$49, MATCH(orders!$D289, products!$A$1:$A$49, 0), MATCH(orders!J$1, products!$A$1:$G$1, 0))</f>
        <v>L</v>
      </c>
      <c r="K289" s="4">
        <f>INDEX(products!$A$1:$G$49, MATCH(orders!$D289, products!$A$1:$A$49, 0), MATCH(orders!K$1, products!$A$1:$G$1, 0))</f>
        <v>0.2</v>
      </c>
      <c r="L289" s="5">
        <f>INDEX(products!$A$1:$G$49, MATCH(orders!$D289, products!$A$1:$A$49, 0), MATCH(orders!L$1, products!$A$1:$G$1, 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 MATCH(orders!$D290, products!$A$1:$A$49, 0), MATCH(orders!I$1, products!$A$1:$G$1, 0))</f>
        <v>Exc</v>
      </c>
      <c r="J290" t="str">
        <f>INDEX(products!$A$1:$G$49, MATCH(orders!$D290, products!$A$1:$A$49, 0), MATCH(orders!J$1, products!$A$1:$G$1, 0))</f>
        <v>M</v>
      </c>
      <c r="K290" s="4">
        <f>INDEX(products!$A$1:$G$49, MATCH(orders!$D290, products!$A$1:$A$49, 0), MATCH(orders!K$1, products!$A$1:$G$1, 0))</f>
        <v>0.5</v>
      </c>
      <c r="L290" s="5">
        <f>INDEX(products!$A$1:$G$49, MATCH(orders!$D290, products!$A$1:$A$49, 0), MATCH(orders!L$1, products!$A$1:$G$1, 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 MATCH(orders!$D291, products!$A$1:$A$49, 0), MATCH(orders!I$1, products!$A$1:$G$1, 0))</f>
        <v>Rob</v>
      </c>
      <c r="J291" t="str">
        <f>INDEX(products!$A$1:$G$49, MATCH(orders!$D291, products!$A$1:$A$49, 0), MATCH(orders!J$1, products!$A$1:$G$1, 0))</f>
        <v>D</v>
      </c>
      <c r="K291" s="4">
        <f>INDEX(products!$A$1:$G$49, MATCH(orders!$D291, products!$A$1:$A$49, 0), MATCH(orders!K$1, products!$A$1:$G$1, 0))</f>
        <v>0.2</v>
      </c>
      <c r="L291" s="5">
        <f>INDEX(products!$A$1:$G$49, MATCH(orders!$D291, products!$A$1:$A$49, 0), MATCH(orders!L$1, products!$A$1:$G$1, 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 MATCH(orders!$D292, products!$A$1:$A$49, 0), MATCH(orders!I$1, products!$A$1:$G$1, 0))</f>
        <v>Ara</v>
      </c>
      <c r="J292" t="str">
        <f>INDEX(products!$A$1:$G$49, MATCH(orders!$D292, products!$A$1:$A$49, 0), MATCH(orders!J$1, products!$A$1:$G$1, 0))</f>
        <v>D</v>
      </c>
      <c r="K292" s="4">
        <f>INDEX(products!$A$1:$G$49, MATCH(orders!$D292, products!$A$1:$A$49, 0), MATCH(orders!K$1, products!$A$1:$G$1, 0))</f>
        <v>1</v>
      </c>
      <c r="L292" s="5">
        <f>INDEX(products!$A$1:$G$49, MATCH(orders!$D292, products!$A$1:$A$49, 0), MATCH(orders!L$1, products!$A$1:$G$1, 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 MATCH(orders!$D293, products!$A$1:$A$49, 0), MATCH(orders!I$1, products!$A$1:$G$1, 0))</f>
        <v>Exc</v>
      </c>
      <c r="J293" t="str">
        <f>INDEX(products!$A$1:$G$49, MATCH(orders!$D293, products!$A$1:$A$49, 0), MATCH(orders!J$1, products!$A$1:$G$1, 0))</f>
        <v>M</v>
      </c>
      <c r="K293" s="4">
        <f>INDEX(products!$A$1:$G$49, MATCH(orders!$D293, products!$A$1:$A$49, 0), MATCH(orders!K$1, products!$A$1:$G$1, 0))</f>
        <v>0.5</v>
      </c>
      <c r="L293" s="5">
        <f>INDEX(products!$A$1:$G$49, MATCH(orders!$D293, products!$A$1:$A$49, 0), MATCH(orders!L$1, products!$A$1:$G$1, 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 MATCH(orders!$D294, products!$A$1:$A$49, 0), MATCH(orders!I$1, products!$A$1:$G$1, 0))</f>
        <v>Ara</v>
      </c>
      <c r="J294" t="str">
        <f>INDEX(products!$A$1:$G$49, MATCH(orders!$D294, products!$A$1:$A$49, 0), MATCH(orders!J$1, products!$A$1:$G$1, 0))</f>
        <v>D</v>
      </c>
      <c r="K294" s="4">
        <f>INDEX(products!$A$1:$G$49, MATCH(orders!$D294, products!$A$1:$A$49, 0), MATCH(orders!K$1, products!$A$1:$G$1, 0))</f>
        <v>0.5</v>
      </c>
      <c r="L294" s="5">
        <f>INDEX(products!$A$1:$G$49, MATCH(orders!$D294, products!$A$1:$A$49, 0), MATCH(orders!L$1, products!$A$1:$G$1, 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 MATCH(orders!$D295, products!$A$1:$A$49, 0), MATCH(orders!I$1, products!$A$1:$G$1, 0))</f>
        <v>Ara</v>
      </c>
      <c r="J295" t="str">
        <f>INDEX(products!$A$1:$G$49, MATCH(orders!$D295, products!$A$1:$A$49, 0), MATCH(orders!J$1, products!$A$1:$G$1, 0))</f>
        <v>D</v>
      </c>
      <c r="K295" s="4">
        <f>INDEX(products!$A$1:$G$49, MATCH(orders!$D295, products!$A$1:$A$49, 0), MATCH(orders!K$1, products!$A$1:$G$1, 0))</f>
        <v>0.5</v>
      </c>
      <c r="L295" s="5">
        <f>INDEX(products!$A$1:$G$49, MATCH(orders!$D295, products!$A$1:$A$49, 0), MATCH(orders!L$1, products!$A$1:$G$1, 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 MATCH(orders!$D296, products!$A$1:$A$49, 0), MATCH(orders!I$1, products!$A$1:$G$1, 0))</f>
        <v>Exc</v>
      </c>
      <c r="J296" t="str">
        <f>INDEX(products!$A$1:$G$49, MATCH(orders!$D296, products!$A$1:$A$49, 0), MATCH(orders!J$1, products!$A$1:$G$1, 0))</f>
        <v>L</v>
      </c>
      <c r="K296" s="4">
        <f>INDEX(products!$A$1:$G$49, MATCH(orders!$D296, products!$A$1:$A$49, 0), MATCH(orders!K$1, products!$A$1:$G$1, 0))</f>
        <v>1</v>
      </c>
      <c r="L296" s="5">
        <f>INDEX(products!$A$1:$G$49, MATCH(orders!$D296, products!$A$1:$A$49, 0), MATCH(orders!L$1, products!$A$1:$G$1, 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 MATCH(orders!$D297, products!$A$1:$A$49, 0), MATCH(orders!I$1, products!$A$1:$G$1, 0))</f>
        <v>Exc</v>
      </c>
      <c r="J297" t="str">
        <f>INDEX(products!$A$1:$G$49, MATCH(orders!$D297, products!$A$1:$A$49, 0), MATCH(orders!J$1, products!$A$1:$G$1, 0))</f>
        <v>M</v>
      </c>
      <c r="K297" s="4">
        <f>INDEX(products!$A$1:$G$49, MATCH(orders!$D297, products!$A$1:$A$49, 0), MATCH(orders!K$1, products!$A$1:$G$1, 0))</f>
        <v>1</v>
      </c>
      <c r="L297" s="5">
        <f>INDEX(products!$A$1:$G$49, MATCH(orders!$D297, products!$A$1:$A$49, 0), MATCH(orders!L$1, products!$A$1:$G$1, 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 MATCH(orders!$D298, products!$A$1:$A$49, 0), MATCH(orders!I$1, products!$A$1:$G$1, 0))</f>
        <v>Rob</v>
      </c>
      <c r="J298" t="str">
        <f>INDEX(products!$A$1:$G$49, MATCH(orders!$D298, products!$A$1:$A$49, 0), MATCH(orders!J$1, products!$A$1:$G$1, 0))</f>
        <v>M</v>
      </c>
      <c r="K298" s="4">
        <f>INDEX(products!$A$1:$G$49, MATCH(orders!$D298, products!$A$1:$A$49, 0), MATCH(orders!K$1, products!$A$1:$G$1, 0))</f>
        <v>0.5</v>
      </c>
      <c r="L298" s="5">
        <f>INDEX(products!$A$1:$G$49, MATCH(orders!$D298, products!$A$1:$A$49, 0), MATCH(orders!L$1, products!$A$1:$G$1, 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 MATCH(orders!$D299, products!$A$1:$A$49, 0), MATCH(orders!I$1, products!$A$1:$G$1, 0))</f>
        <v>Rob</v>
      </c>
      <c r="J299" t="str">
        <f>INDEX(products!$A$1:$G$49, MATCH(orders!$D299, products!$A$1:$A$49, 0), MATCH(orders!J$1, products!$A$1:$G$1, 0))</f>
        <v>D</v>
      </c>
      <c r="K299" s="4">
        <f>INDEX(products!$A$1:$G$49, MATCH(orders!$D299, products!$A$1:$A$49, 0), MATCH(orders!K$1, products!$A$1:$G$1, 0))</f>
        <v>0.5</v>
      </c>
      <c r="L299" s="5">
        <f>INDEX(products!$A$1:$G$49, MATCH(orders!$D299, products!$A$1:$A$49, 0), MATCH(orders!L$1, products!$A$1:$G$1, 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 MATCH(orders!$D300, products!$A$1:$A$49, 0), MATCH(orders!I$1, products!$A$1:$G$1, 0))</f>
        <v>Exc</v>
      </c>
      <c r="J300" t="str">
        <f>INDEX(products!$A$1:$G$49, MATCH(orders!$D300, products!$A$1:$A$49, 0), MATCH(orders!J$1, products!$A$1:$G$1, 0))</f>
        <v>L</v>
      </c>
      <c r="K300" s="4">
        <f>INDEX(products!$A$1:$G$49, MATCH(orders!$D300, products!$A$1:$A$49, 0), MATCH(orders!K$1, products!$A$1:$G$1, 0))</f>
        <v>0.2</v>
      </c>
      <c r="L300" s="5">
        <f>INDEX(products!$A$1:$G$49, MATCH(orders!$D300, products!$A$1:$A$49, 0), MATCH(orders!L$1, products!$A$1:$G$1, 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 MATCH(orders!$D301, products!$A$1:$A$49, 0), MATCH(orders!I$1, products!$A$1:$G$1, 0))</f>
        <v>Exc</v>
      </c>
      <c r="J301" t="str">
        <f>INDEX(products!$A$1:$G$49, MATCH(orders!$D301, products!$A$1:$A$49, 0), MATCH(orders!J$1, products!$A$1:$G$1, 0))</f>
        <v>L</v>
      </c>
      <c r="K301" s="4">
        <f>INDEX(products!$A$1:$G$49, MATCH(orders!$D301, products!$A$1:$A$49, 0), MATCH(orders!K$1, products!$A$1:$G$1, 0))</f>
        <v>2.5</v>
      </c>
      <c r="L301" s="5">
        <f>INDEX(products!$A$1:$G$49, MATCH(orders!$D301, products!$A$1:$A$49, 0), MATCH(orders!L$1, products!$A$1:$G$1, 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 MATCH(orders!$D302, products!$A$1:$A$49, 0), MATCH(orders!I$1, products!$A$1:$G$1, 0))</f>
        <v>Ara</v>
      </c>
      <c r="J302" t="str">
        <f>INDEX(products!$A$1:$G$49, MATCH(orders!$D302, products!$A$1:$A$49, 0), MATCH(orders!J$1, products!$A$1:$G$1, 0))</f>
        <v>L</v>
      </c>
      <c r="K302" s="4">
        <f>INDEX(products!$A$1:$G$49, MATCH(orders!$D302, products!$A$1:$A$49, 0), MATCH(orders!K$1, products!$A$1:$G$1, 0))</f>
        <v>1</v>
      </c>
      <c r="L302" s="5">
        <f>INDEX(products!$A$1:$G$49, MATCH(orders!$D302, products!$A$1:$A$49, 0), MATCH(orders!L$1, products!$A$1:$G$1, 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 MATCH(orders!$D303, products!$A$1:$A$49, 0), MATCH(orders!I$1, products!$A$1:$G$1, 0))</f>
        <v>Lib</v>
      </c>
      <c r="J303" t="str">
        <f>INDEX(products!$A$1:$G$49, MATCH(orders!$D303, products!$A$1:$A$49, 0), MATCH(orders!J$1, products!$A$1:$G$1, 0))</f>
        <v>D</v>
      </c>
      <c r="K303" s="4">
        <f>INDEX(products!$A$1:$G$49, MATCH(orders!$D303, products!$A$1:$A$49, 0), MATCH(orders!K$1, products!$A$1:$G$1, 0))</f>
        <v>0.2</v>
      </c>
      <c r="L303" s="5">
        <f>INDEX(products!$A$1:$G$49, MATCH(orders!$D303, products!$A$1:$A$49, 0), MATCH(orders!L$1, products!$A$1:$G$1, 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 MATCH(orders!$D304, products!$A$1:$A$49, 0), MATCH(orders!I$1, products!$A$1:$G$1, 0))</f>
        <v>Ara</v>
      </c>
      <c r="J304" t="str">
        <f>INDEX(products!$A$1:$G$49, MATCH(orders!$D304, products!$A$1:$A$49, 0), MATCH(orders!J$1, products!$A$1:$G$1, 0))</f>
        <v>M</v>
      </c>
      <c r="K304" s="4">
        <f>INDEX(products!$A$1:$G$49, MATCH(orders!$D304, products!$A$1:$A$49, 0), MATCH(orders!K$1, products!$A$1:$G$1, 0))</f>
        <v>0.5</v>
      </c>
      <c r="L304" s="5">
        <f>INDEX(products!$A$1:$G$49, MATCH(orders!$D304, products!$A$1:$A$49, 0), MATCH(orders!L$1, products!$A$1:$G$1, 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 MATCH(orders!$D305, products!$A$1:$A$49, 0), MATCH(orders!I$1, products!$A$1:$G$1, 0))</f>
        <v>Exc</v>
      </c>
      <c r="J305" t="str">
        <f>INDEX(products!$A$1:$G$49, MATCH(orders!$D305, products!$A$1:$A$49, 0), MATCH(orders!J$1, products!$A$1:$G$1, 0))</f>
        <v>D</v>
      </c>
      <c r="K305" s="4">
        <f>INDEX(products!$A$1:$G$49, MATCH(orders!$D305, products!$A$1:$A$49, 0), MATCH(orders!K$1, products!$A$1:$G$1, 0))</f>
        <v>2.5</v>
      </c>
      <c r="L305" s="5">
        <f>INDEX(products!$A$1:$G$49, MATCH(orders!$D305, products!$A$1:$A$49, 0), MATCH(orders!L$1, products!$A$1:$G$1, 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 MATCH(orders!$D306, products!$A$1:$A$49, 0), MATCH(orders!I$1, products!$A$1:$G$1, 0))</f>
        <v>Ara</v>
      </c>
      <c r="J306" t="str">
        <f>INDEX(products!$A$1:$G$49, MATCH(orders!$D306, products!$A$1:$A$49, 0), MATCH(orders!J$1, products!$A$1:$G$1, 0))</f>
        <v>L</v>
      </c>
      <c r="K306" s="4">
        <f>INDEX(products!$A$1:$G$49, MATCH(orders!$D306, products!$A$1:$A$49, 0), MATCH(orders!K$1, products!$A$1:$G$1, 0))</f>
        <v>0.2</v>
      </c>
      <c r="L306" s="5">
        <f>INDEX(products!$A$1:$G$49, MATCH(orders!$D306, products!$A$1:$A$49, 0), MATCH(orders!L$1, products!$A$1:$G$1, 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 MATCH(orders!$D307, products!$A$1:$A$49, 0), MATCH(orders!I$1, products!$A$1:$G$1, 0))</f>
        <v>Lib</v>
      </c>
      <c r="J307" t="str">
        <f>INDEX(products!$A$1:$G$49, MATCH(orders!$D307, products!$A$1:$A$49, 0), MATCH(orders!J$1, products!$A$1:$G$1, 0))</f>
        <v>M</v>
      </c>
      <c r="K307" s="4">
        <f>INDEX(products!$A$1:$G$49, MATCH(orders!$D307, products!$A$1:$A$49, 0), MATCH(orders!K$1, products!$A$1:$G$1, 0))</f>
        <v>0.2</v>
      </c>
      <c r="L307" s="5">
        <f>INDEX(products!$A$1:$G$49, MATCH(orders!$D307, products!$A$1:$A$49, 0), MATCH(orders!L$1, products!$A$1:$G$1, 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 MATCH(orders!$D308, products!$A$1:$A$49, 0), MATCH(orders!I$1, products!$A$1:$G$1, 0))</f>
        <v>Rob</v>
      </c>
      <c r="J308" t="str">
        <f>INDEX(products!$A$1:$G$49, MATCH(orders!$D308, products!$A$1:$A$49, 0), MATCH(orders!J$1, products!$A$1:$G$1, 0))</f>
        <v>M</v>
      </c>
      <c r="K308" s="4">
        <f>INDEX(products!$A$1:$G$49, MATCH(orders!$D308, products!$A$1:$A$49, 0), MATCH(orders!K$1, products!$A$1:$G$1, 0))</f>
        <v>0.2</v>
      </c>
      <c r="L308" s="5">
        <f>INDEX(products!$A$1:$G$49, MATCH(orders!$D308, products!$A$1:$A$49, 0), MATCH(orders!L$1, products!$A$1:$G$1, 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 MATCH(orders!$D309, products!$A$1:$A$49, 0), MATCH(orders!I$1, products!$A$1:$G$1, 0))</f>
        <v>Ara</v>
      </c>
      <c r="J309" t="str">
        <f>INDEX(products!$A$1:$G$49, MATCH(orders!$D309, products!$A$1:$A$49, 0), MATCH(orders!J$1, products!$A$1:$G$1, 0))</f>
        <v>M</v>
      </c>
      <c r="K309" s="4">
        <f>INDEX(products!$A$1:$G$49, MATCH(orders!$D309, products!$A$1:$A$49, 0), MATCH(orders!K$1, products!$A$1:$G$1, 0))</f>
        <v>1</v>
      </c>
      <c r="L309" s="5">
        <f>INDEX(products!$A$1:$G$49, MATCH(orders!$D309, products!$A$1:$A$49, 0), MATCH(orders!L$1, products!$A$1:$G$1, 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 MATCH(orders!$D310, products!$A$1:$A$49, 0), MATCH(orders!I$1, products!$A$1:$G$1, 0))</f>
        <v>Ara</v>
      </c>
      <c r="J310" t="str">
        <f>INDEX(products!$A$1:$G$49, MATCH(orders!$D310, products!$A$1:$A$49, 0), MATCH(orders!J$1, products!$A$1:$G$1, 0))</f>
        <v>M</v>
      </c>
      <c r="K310" s="4">
        <f>INDEX(products!$A$1:$G$49, MATCH(orders!$D310, products!$A$1:$A$49, 0), MATCH(orders!K$1, products!$A$1:$G$1, 0))</f>
        <v>1</v>
      </c>
      <c r="L310" s="5">
        <f>INDEX(products!$A$1:$G$49, MATCH(orders!$D310, products!$A$1:$A$49, 0), MATCH(orders!L$1, products!$A$1:$G$1, 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 MATCH(orders!$D311, products!$A$1:$A$49, 0), MATCH(orders!I$1, products!$A$1:$G$1, 0))</f>
        <v>Lib</v>
      </c>
      <c r="J311" t="str">
        <f>INDEX(products!$A$1:$G$49, MATCH(orders!$D311, products!$A$1:$A$49, 0), MATCH(orders!J$1, products!$A$1:$G$1, 0))</f>
        <v>M</v>
      </c>
      <c r="K311" s="4">
        <f>INDEX(products!$A$1:$G$49, MATCH(orders!$D311, products!$A$1:$A$49, 0), MATCH(orders!K$1, products!$A$1:$G$1, 0))</f>
        <v>0.2</v>
      </c>
      <c r="L311" s="5">
        <f>INDEX(products!$A$1:$G$49, MATCH(orders!$D311, products!$A$1:$A$49, 0), MATCH(orders!L$1, products!$A$1:$G$1, 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 MATCH(orders!$D312, products!$A$1:$A$49, 0), MATCH(orders!I$1, products!$A$1:$G$1, 0))</f>
        <v>Exc</v>
      </c>
      <c r="J312" t="str">
        <f>INDEX(products!$A$1:$G$49, MATCH(orders!$D312, products!$A$1:$A$49, 0), MATCH(orders!J$1, products!$A$1:$G$1, 0))</f>
        <v>L</v>
      </c>
      <c r="K312" s="4">
        <f>INDEX(products!$A$1:$G$49, MATCH(orders!$D312, products!$A$1:$A$49, 0), MATCH(orders!K$1, products!$A$1:$G$1, 0))</f>
        <v>1</v>
      </c>
      <c r="L312" s="5">
        <f>INDEX(products!$A$1:$G$49, MATCH(orders!$D312, products!$A$1:$A$49, 0), MATCH(orders!L$1, products!$A$1:$G$1, 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 MATCH(orders!$D313, products!$A$1:$A$49, 0), MATCH(orders!I$1, products!$A$1:$G$1, 0))</f>
        <v>Exc</v>
      </c>
      <c r="J313" t="str">
        <f>INDEX(products!$A$1:$G$49, MATCH(orders!$D313, products!$A$1:$A$49, 0), MATCH(orders!J$1, products!$A$1:$G$1, 0))</f>
        <v>M</v>
      </c>
      <c r="K313" s="4">
        <f>INDEX(products!$A$1:$G$49, MATCH(orders!$D313, products!$A$1:$A$49, 0), MATCH(orders!K$1, products!$A$1:$G$1, 0))</f>
        <v>2.5</v>
      </c>
      <c r="L313" s="5">
        <f>INDEX(products!$A$1:$G$49, MATCH(orders!$D313, products!$A$1:$A$49, 0), MATCH(orders!L$1, products!$A$1:$G$1, 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 MATCH(orders!$D314, products!$A$1:$A$49, 0), MATCH(orders!I$1, products!$A$1:$G$1, 0))</f>
        <v>Rob</v>
      </c>
      <c r="J314" t="str">
        <f>INDEX(products!$A$1:$G$49, MATCH(orders!$D314, products!$A$1:$A$49, 0), MATCH(orders!J$1, products!$A$1:$G$1, 0))</f>
        <v>M</v>
      </c>
      <c r="K314" s="4">
        <f>INDEX(products!$A$1:$G$49, MATCH(orders!$D314, products!$A$1:$A$49, 0), MATCH(orders!K$1, products!$A$1:$G$1, 0))</f>
        <v>0.5</v>
      </c>
      <c r="L314" s="5">
        <f>INDEX(products!$A$1:$G$49, MATCH(orders!$D314, products!$A$1:$A$49, 0), MATCH(orders!L$1, products!$A$1:$G$1, 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 MATCH(orders!$D315, products!$A$1:$A$49, 0), MATCH(orders!I$1, products!$A$1:$G$1, 0))</f>
        <v>Rob</v>
      </c>
      <c r="J315" t="str">
        <f>INDEX(products!$A$1:$G$49, MATCH(orders!$D315, products!$A$1:$A$49, 0), MATCH(orders!J$1, products!$A$1:$G$1, 0))</f>
        <v>M</v>
      </c>
      <c r="K315" s="4">
        <f>INDEX(products!$A$1:$G$49, MATCH(orders!$D315, products!$A$1:$A$49, 0), MATCH(orders!K$1, products!$A$1:$G$1, 0))</f>
        <v>1</v>
      </c>
      <c r="L315" s="5">
        <f>INDEX(products!$A$1:$G$49, MATCH(orders!$D315, products!$A$1:$A$49, 0), MATCH(orders!L$1, products!$A$1:$G$1, 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 MATCH(orders!$D316, products!$A$1:$A$49, 0), MATCH(orders!I$1, products!$A$1:$G$1, 0))</f>
        <v>Rob</v>
      </c>
      <c r="J316" t="str">
        <f>INDEX(products!$A$1:$G$49, MATCH(orders!$D316, products!$A$1:$A$49, 0), MATCH(orders!J$1, products!$A$1:$G$1, 0))</f>
        <v>D</v>
      </c>
      <c r="K316" s="4">
        <f>INDEX(products!$A$1:$G$49, MATCH(orders!$D316, products!$A$1:$A$49, 0), MATCH(orders!K$1, products!$A$1:$G$1, 0))</f>
        <v>1</v>
      </c>
      <c r="L316" s="5">
        <f>INDEX(products!$A$1:$G$49, MATCH(orders!$D316, products!$A$1:$A$49, 0), MATCH(orders!L$1, products!$A$1:$G$1, 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 MATCH(orders!$D317, products!$A$1:$A$49, 0), MATCH(orders!I$1, products!$A$1:$G$1, 0))</f>
        <v>Exc</v>
      </c>
      <c r="J317" t="str">
        <f>INDEX(products!$A$1:$G$49, MATCH(orders!$D317, products!$A$1:$A$49, 0), MATCH(orders!J$1, products!$A$1:$G$1, 0))</f>
        <v>L</v>
      </c>
      <c r="K317" s="4">
        <f>INDEX(products!$A$1:$G$49, MATCH(orders!$D317, products!$A$1:$A$49, 0), MATCH(orders!K$1, products!$A$1:$G$1, 0))</f>
        <v>2.5</v>
      </c>
      <c r="L317" s="5">
        <f>INDEX(products!$A$1:$G$49, MATCH(orders!$D317, products!$A$1:$A$49, 0), MATCH(orders!L$1, products!$A$1:$G$1, 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 MATCH(orders!$D318, products!$A$1:$A$49, 0), MATCH(orders!I$1, products!$A$1:$G$1, 0))</f>
        <v>Exc</v>
      </c>
      <c r="J318" t="str">
        <f>INDEX(products!$A$1:$G$49, MATCH(orders!$D318, products!$A$1:$A$49, 0), MATCH(orders!J$1, products!$A$1:$G$1, 0))</f>
        <v>L</v>
      </c>
      <c r="K318" s="4">
        <f>INDEX(products!$A$1:$G$49, MATCH(orders!$D318, products!$A$1:$A$49, 0), MATCH(orders!K$1, products!$A$1:$G$1, 0))</f>
        <v>2.5</v>
      </c>
      <c r="L318" s="5">
        <f>INDEX(products!$A$1:$G$49, MATCH(orders!$D318, products!$A$1:$A$49, 0), MATCH(orders!L$1, products!$A$1:$G$1, 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 MATCH(orders!$D319, products!$A$1:$A$49, 0), MATCH(orders!I$1, products!$A$1:$G$1, 0))</f>
        <v>Exc</v>
      </c>
      <c r="J319" t="str">
        <f>INDEX(products!$A$1:$G$49, MATCH(orders!$D319, products!$A$1:$A$49, 0), MATCH(orders!J$1, products!$A$1:$G$1, 0))</f>
        <v>D</v>
      </c>
      <c r="K319" s="4">
        <f>INDEX(products!$A$1:$G$49, MATCH(orders!$D319, products!$A$1:$A$49, 0), MATCH(orders!K$1, products!$A$1:$G$1, 0))</f>
        <v>0.5</v>
      </c>
      <c r="L319" s="5">
        <f>INDEX(products!$A$1:$G$49, MATCH(orders!$D319, products!$A$1:$A$49, 0), MATCH(orders!L$1, products!$A$1:$G$1, 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 MATCH(orders!$D320, products!$A$1:$A$49, 0), MATCH(orders!I$1, products!$A$1:$G$1, 0))</f>
        <v>Ara</v>
      </c>
      <c r="J320" t="str">
        <f>INDEX(products!$A$1:$G$49, MATCH(orders!$D320, products!$A$1:$A$49, 0), MATCH(orders!J$1, products!$A$1:$G$1, 0))</f>
        <v>M</v>
      </c>
      <c r="K320" s="4">
        <f>INDEX(products!$A$1:$G$49, MATCH(orders!$D320, products!$A$1:$A$49, 0), MATCH(orders!K$1, products!$A$1:$G$1, 0))</f>
        <v>2.5</v>
      </c>
      <c r="L320" s="5">
        <f>INDEX(products!$A$1:$G$49, MATCH(orders!$D320, products!$A$1:$A$49, 0), MATCH(orders!L$1, products!$A$1:$G$1, 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 MATCH(orders!$D321, products!$A$1:$A$49, 0), MATCH(orders!I$1, products!$A$1:$G$1, 0))</f>
        <v>Exc</v>
      </c>
      <c r="J321" t="str">
        <f>INDEX(products!$A$1:$G$49, MATCH(orders!$D321, products!$A$1:$A$49, 0), MATCH(orders!J$1, products!$A$1:$G$1, 0))</f>
        <v>M</v>
      </c>
      <c r="K321" s="4">
        <f>INDEX(products!$A$1:$G$49, MATCH(orders!$D321, products!$A$1:$A$49, 0), MATCH(orders!K$1, products!$A$1:$G$1, 0))</f>
        <v>0.2</v>
      </c>
      <c r="L321" s="5">
        <f>INDEX(products!$A$1:$G$49, MATCH(orders!$D321, products!$A$1:$A$49, 0), MATCH(orders!L$1, products!$A$1:$G$1, 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 MATCH(orders!$D322, products!$A$1:$A$49, 0), MATCH(orders!I$1, products!$A$1:$G$1, 0))</f>
        <v>Ara</v>
      </c>
      <c r="J322" t="str">
        <f>INDEX(products!$A$1:$G$49, MATCH(orders!$D322, products!$A$1:$A$49, 0), MATCH(orders!J$1, products!$A$1:$G$1, 0))</f>
        <v>L</v>
      </c>
      <c r="K322" s="4">
        <f>INDEX(products!$A$1:$G$49, MATCH(orders!$D322, products!$A$1:$A$49, 0), MATCH(orders!K$1, products!$A$1:$G$1, 0))</f>
        <v>0.2</v>
      </c>
      <c r="L322" s="5">
        <f>INDEX(products!$A$1:$G$49, MATCH(orders!$D322, products!$A$1:$A$49, 0), MATCH(orders!L$1, products!$A$1:$G$1, 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 MATCH(orders!$D323, products!$A$1:$A$49, 0), MATCH(orders!I$1, products!$A$1:$G$1, 0))</f>
        <v>Ara</v>
      </c>
      <c r="J323" t="str">
        <f>INDEX(products!$A$1:$G$49, MATCH(orders!$D323, products!$A$1:$A$49, 0), MATCH(orders!J$1, products!$A$1:$G$1, 0))</f>
        <v>M</v>
      </c>
      <c r="K323" s="4">
        <f>INDEX(products!$A$1:$G$49, MATCH(orders!$D323, products!$A$1:$A$49, 0), MATCH(orders!K$1, products!$A$1:$G$1, 0))</f>
        <v>0.2</v>
      </c>
      <c r="L323" s="5">
        <f>INDEX(products!$A$1:$G$49, MATCH(orders!$D323, products!$A$1:$A$49, 0), MATCH(orders!L$1, products!$A$1:$G$1, 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 MATCH(orders!$D324, products!$A$1:$A$49, 0), MATCH(orders!I$1, products!$A$1:$G$1, 0))</f>
        <v>Lib</v>
      </c>
      <c r="J324" t="str">
        <f>INDEX(products!$A$1:$G$49, MATCH(orders!$D324, products!$A$1:$A$49, 0), MATCH(orders!J$1, products!$A$1:$G$1, 0))</f>
        <v>D</v>
      </c>
      <c r="K324" s="4">
        <f>INDEX(products!$A$1:$G$49, MATCH(orders!$D324, products!$A$1:$A$49, 0), MATCH(orders!K$1, products!$A$1:$G$1, 0))</f>
        <v>0.5</v>
      </c>
      <c r="L324" s="5">
        <f>INDEX(products!$A$1:$G$49, MATCH(orders!$D324, products!$A$1:$A$49, 0), MATCH(orders!L$1, products!$A$1:$G$1, 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 MATCH(orders!$D325, products!$A$1:$A$49, 0), MATCH(orders!I$1, products!$A$1:$G$1, 0))</f>
        <v>Exc</v>
      </c>
      <c r="J325" t="str">
        <f>INDEX(products!$A$1:$G$49, MATCH(orders!$D325, products!$A$1:$A$49, 0), MATCH(orders!J$1, products!$A$1:$G$1, 0))</f>
        <v>D</v>
      </c>
      <c r="K325" s="4">
        <f>INDEX(products!$A$1:$G$49, MATCH(orders!$D325, products!$A$1:$A$49, 0), MATCH(orders!K$1, products!$A$1:$G$1, 0))</f>
        <v>0.2</v>
      </c>
      <c r="L325" s="5">
        <f>INDEX(products!$A$1:$G$49, MATCH(orders!$D325, products!$A$1:$A$49, 0), MATCH(orders!L$1, products!$A$1:$G$1, 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 MATCH(orders!$D326, products!$A$1:$A$49, 0), MATCH(orders!I$1, products!$A$1:$G$1, 0))</f>
        <v>Exc</v>
      </c>
      <c r="J326" t="str">
        <f>INDEX(products!$A$1:$G$49, MATCH(orders!$D326, products!$A$1:$A$49, 0), MATCH(orders!J$1, products!$A$1:$G$1, 0))</f>
        <v>M</v>
      </c>
      <c r="K326" s="4">
        <f>INDEX(products!$A$1:$G$49, MATCH(orders!$D326, products!$A$1:$A$49, 0), MATCH(orders!K$1, products!$A$1:$G$1, 0))</f>
        <v>1</v>
      </c>
      <c r="L326" s="5">
        <f>INDEX(products!$A$1:$G$49, MATCH(orders!$D326, products!$A$1:$A$49, 0), MATCH(orders!L$1, products!$A$1:$G$1, 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 MATCH(orders!$D327, products!$A$1:$A$49, 0), MATCH(orders!I$1, products!$A$1:$G$1, 0))</f>
        <v>Ara</v>
      </c>
      <c r="J327" t="str">
        <f>INDEX(products!$A$1:$G$49, MATCH(orders!$D327, products!$A$1:$A$49, 0), MATCH(orders!J$1, products!$A$1:$G$1, 0))</f>
        <v>L</v>
      </c>
      <c r="K327" s="4">
        <f>INDEX(products!$A$1:$G$49, MATCH(orders!$D327, products!$A$1:$A$49, 0), MATCH(orders!K$1, products!$A$1:$G$1, 0))</f>
        <v>2.5</v>
      </c>
      <c r="L327" s="5">
        <f>INDEX(products!$A$1:$G$49, MATCH(orders!$D327, products!$A$1:$A$49, 0), MATCH(orders!L$1, products!$A$1:$G$1, 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 MATCH(orders!$D328, products!$A$1:$A$49, 0), MATCH(orders!I$1, products!$A$1:$G$1, 0))</f>
        <v>Rob</v>
      </c>
      <c r="J328" t="str">
        <f>INDEX(products!$A$1:$G$49, MATCH(orders!$D328, products!$A$1:$A$49, 0), MATCH(orders!J$1, products!$A$1:$G$1, 0))</f>
        <v>D</v>
      </c>
      <c r="K328" s="4">
        <f>INDEX(products!$A$1:$G$49, MATCH(orders!$D328, products!$A$1:$A$49, 0), MATCH(orders!K$1, products!$A$1:$G$1, 0))</f>
        <v>1</v>
      </c>
      <c r="L328" s="5">
        <f>INDEX(products!$A$1:$G$49, MATCH(orders!$D328, products!$A$1:$A$49, 0), MATCH(orders!L$1, products!$A$1:$G$1, 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 MATCH(orders!$D329, products!$A$1:$A$49, 0), MATCH(orders!I$1, products!$A$1:$G$1, 0))</f>
        <v>Rob</v>
      </c>
      <c r="J329" t="str">
        <f>INDEX(products!$A$1:$G$49, MATCH(orders!$D329, products!$A$1:$A$49, 0), MATCH(orders!J$1, products!$A$1:$G$1, 0))</f>
        <v>D</v>
      </c>
      <c r="K329" s="4">
        <f>INDEX(products!$A$1:$G$49, MATCH(orders!$D329, products!$A$1:$A$49, 0), MATCH(orders!K$1, products!$A$1:$G$1, 0))</f>
        <v>1</v>
      </c>
      <c r="L329" s="5">
        <f>INDEX(products!$A$1:$G$49, MATCH(orders!$D329, products!$A$1:$A$49, 0), MATCH(orders!L$1, products!$A$1:$G$1, 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 MATCH(orders!$D330, products!$A$1:$A$49, 0), MATCH(orders!I$1, products!$A$1:$G$1, 0))</f>
        <v>Lib</v>
      </c>
      <c r="J330" t="str">
        <f>INDEX(products!$A$1:$G$49, MATCH(orders!$D330, products!$A$1:$A$49, 0), MATCH(orders!J$1, products!$A$1:$G$1, 0))</f>
        <v>L</v>
      </c>
      <c r="K330" s="4">
        <f>INDEX(products!$A$1:$G$49, MATCH(orders!$D330, products!$A$1:$A$49, 0), MATCH(orders!K$1, products!$A$1:$G$1, 0))</f>
        <v>0.5</v>
      </c>
      <c r="L330" s="5">
        <f>INDEX(products!$A$1:$G$49, MATCH(orders!$D330, products!$A$1:$A$49, 0), MATCH(orders!L$1, products!$A$1:$G$1, 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 MATCH(orders!$D331, products!$A$1:$A$49, 0), MATCH(orders!I$1, products!$A$1:$G$1, 0))</f>
        <v>Rob</v>
      </c>
      <c r="J331" t="str">
        <f>INDEX(products!$A$1:$G$49, MATCH(orders!$D331, products!$A$1:$A$49, 0), MATCH(orders!J$1, products!$A$1:$G$1, 0))</f>
        <v>D</v>
      </c>
      <c r="K331" s="4">
        <f>INDEX(products!$A$1:$G$49, MATCH(orders!$D331, products!$A$1:$A$49, 0), MATCH(orders!K$1, products!$A$1:$G$1, 0))</f>
        <v>0.5</v>
      </c>
      <c r="L331" s="5">
        <f>INDEX(products!$A$1:$G$49, MATCH(orders!$D331, products!$A$1:$A$49, 0), MATCH(orders!L$1, products!$A$1:$G$1, 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 MATCH(orders!$D332, products!$A$1:$A$49, 0), MATCH(orders!I$1, products!$A$1:$G$1, 0))</f>
        <v>Rob</v>
      </c>
      <c r="J332" t="str">
        <f>INDEX(products!$A$1:$G$49, MATCH(orders!$D332, products!$A$1:$A$49, 0), MATCH(orders!J$1, products!$A$1:$G$1, 0))</f>
        <v>D</v>
      </c>
      <c r="K332" s="4">
        <f>INDEX(products!$A$1:$G$49, MATCH(orders!$D332, products!$A$1:$A$49, 0), MATCH(orders!K$1, products!$A$1:$G$1, 0))</f>
        <v>0.5</v>
      </c>
      <c r="L332" s="5">
        <f>INDEX(products!$A$1:$G$49, MATCH(orders!$D332, products!$A$1:$A$49, 0), MATCH(orders!L$1, products!$A$1:$G$1, 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 MATCH(orders!$D333, products!$A$1:$A$49, 0), MATCH(orders!I$1, products!$A$1:$G$1, 0))</f>
        <v>Rob</v>
      </c>
      <c r="J333" t="str">
        <f>INDEX(products!$A$1:$G$49, MATCH(orders!$D333, products!$A$1:$A$49, 0), MATCH(orders!J$1, products!$A$1:$G$1, 0))</f>
        <v>M</v>
      </c>
      <c r="K333" s="4">
        <f>INDEX(products!$A$1:$G$49, MATCH(orders!$D333, products!$A$1:$A$49, 0), MATCH(orders!K$1, products!$A$1:$G$1, 0))</f>
        <v>2.5</v>
      </c>
      <c r="L333" s="5">
        <f>INDEX(products!$A$1:$G$49, MATCH(orders!$D333, products!$A$1:$A$49, 0), MATCH(orders!L$1, products!$A$1:$G$1, 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 MATCH(orders!$D334, products!$A$1:$A$49, 0), MATCH(orders!I$1, products!$A$1:$G$1, 0))</f>
        <v>Ara</v>
      </c>
      <c r="J334" t="str">
        <f>INDEX(products!$A$1:$G$49, MATCH(orders!$D334, products!$A$1:$A$49, 0), MATCH(orders!J$1, products!$A$1:$G$1, 0))</f>
        <v>D</v>
      </c>
      <c r="K334" s="4">
        <f>INDEX(products!$A$1:$G$49, MATCH(orders!$D334, products!$A$1:$A$49, 0), MATCH(orders!K$1, products!$A$1:$G$1, 0))</f>
        <v>0.5</v>
      </c>
      <c r="L334" s="5">
        <f>INDEX(products!$A$1:$G$49, MATCH(orders!$D334, products!$A$1:$A$49, 0), MATCH(orders!L$1, products!$A$1:$G$1, 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 MATCH(orders!$D335, products!$A$1:$A$49, 0), MATCH(orders!I$1, products!$A$1:$G$1, 0))</f>
        <v>Rob</v>
      </c>
      <c r="J335" t="str">
        <f>INDEX(products!$A$1:$G$49, MATCH(orders!$D335, products!$A$1:$A$49, 0), MATCH(orders!J$1, products!$A$1:$G$1, 0))</f>
        <v>M</v>
      </c>
      <c r="K335" s="4">
        <f>INDEX(products!$A$1:$G$49, MATCH(orders!$D335, products!$A$1:$A$49, 0), MATCH(orders!K$1, products!$A$1:$G$1, 0))</f>
        <v>0.5</v>
      </c>
      <c r="L335" s="5">
        <f>INDEX(products!$A$1:$G$49, MATCH(orders!$D335, products!$A$1:$A$49, 0), MATCH(orders!L$1, products!$A$1:$G$1, 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 MATCH(orders!$D336, products!$A$1:$A$49, 0), MATCH(orders!I$1, products!$A$1:$G$1, 0))</f>
        <v>Rob</v>
      </c>
      <c r="J336" t="str">
        <f>INDEX(products!$A$1:$G$49, MATCH(orders!$D336, products!$A$1:$A$49, 0), MATCH(orders!J$1, products!$A$1:$G$1, 0))</f>
        <v>L</v>
      </c>
      <c r="K336" s="4">
        <f>INDEX(products!$A$1:$G$49, MATCH(orders!$D336, products!$A$1:$A$49, 0), MATCH(orders!K$1, products!$A$1:$G$1, 0))</f>
        <v>1</v>
      </c>
      <c r="L336" s="5">
        <f>INDEX(products!$A$1:$G$49, MATCH(orders!$D336, products!$A$1:$A$49, 0), MATCH(orders!L$1, products!$A$1:$G$1, 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 MATCH(orders!$D337, products!$A$1:$A$49, 0), MATCH(orders!I$1, products!$A$1:$G$1, 0))</f>
        <v>Lib</v>
      </c>
      <c r="J337" t="str">
        <f>INDEX(products!$A$1:$G$49, MATCH(orders!$D337, products!$A$1:$A$49, 0), MATCH(orders!J$1, products!$A$1:$G$1, 0))</f>
        <v>L</v>
      </c>
      <c r="K337" s="4">
        <f>INDEX(products!$A$1:$G$49, MATCH(orders!$D337, products!$A$1:$A$49, 0), MATCH(orders!K$1, products!$A$1:$G$1, 0))</f>
        <v>0.2</v>
      </c>
      <c r="L337" s="5">
        <f>INDEX(products!$A$1:$G$49, MATCH(orders!$D337, products!$A$1:$A$49, 0), MATCH(orders!L$1, products!$A$1:$G$1, 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 MATCH(orders!$D338, products!$A$1:$A$49, 0), MATCH(orders!I$1, products!$A$1:$G$1, 0))</f>
        <v>Ara</v>
      </c>
      <c r="J338" t="str">
        <f>INDEX(products!$A$1:$G$49, MATCH(orders!$D338, products!$A$1:$A$49, 0), MATCH(orders!J$1, products!$A$1:$G$1, 0))</f>
        <v>M</v>
      </c>
      <c r="K338" s="4">
        <f>INDEX(products!$A$1:$G$49, MATCH(orders!$D338, products!$A$1:$A$49, 0), MATCH(orders!K$1, products!$A$1:$G$1, 0))</f>
        <v>1</v>
      </c>
      <c r="L338" s="5">
        <f>INDEX(products!$A$1:$G$49, MATCH(orders!$D338, products!$A$1:$A$49, 0), MATCH(orders!L$1, products!$A$1:$G$1, 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 MATCH(orders!$D339, products!$A$1:$A$49, 0), MATCH(orders!I$1, products!$A$1:$G$1, 0))</f>
        <v>Exc</v>
      </c>
      <c r="J339" t="str">
        <f>INDEX(products!$A$1:$G$49, MATCH(orders!$D339, products!$A$1:$A$49, 0), MATCH(orders!J$1, products!$A$1:$G$1, 0))</f>
        <v>D</v>
      </c>
      <c r="K339" s="4">
        <f>INDEX(products!$A$1:$G$49, MATCH(orders!$D339, products!$A$1:$A$49, 0), MATCH(orders!K$1, products!$A$1:$G$1, 0))</f>
        <v>2.5</v>
      </c>
      <c r="L339" s="5">
        <f>INDEX(products!$A$1:$G$49, MATCH(orders!$D339, products!$A$1:$A$49, 0), MATCH(orders!L$1, products!$A$1:$G$1, 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 MATCH(orders!$D340, products!$A$1:$A$49, 0), MATCH(orders!I$1, products!$A$1:$G$1, 0))</f>
        <v>Exc</v>
      </c>
      <c r="J340" t="str">
        <f>INDEX(products!$A$1:$G$49, MATCH(orders!$D340, products!$A$1:$A$49, 0), MATCH(orders!J$1, products!$A$1:$G$1, 0))</f>
        <v>L</v>
      </c>
      <c r="K340" s="4">
        <f>INDEX(products!$A$1:$G$49, MATCH(orders!$D340, products!$A$1:$A$49, 0), MATCH(orders!K$1, products!$A$1:$G$1, 0))</f>
        <v>1</v>
      </c>
      <c r="L340" s="5">
        <f>INDEX(products!$A$1:$G$49, MATCH(orders!$D340, products!$A$1:$A$49, 0), MATCH(orders!L$1, products!$A$1:$G$1, 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 MATCH(orders!$D341, products!$A$1:$A$49, 0), MATCH(orders!I$1, products!$A$1:$G$1, 0))</f>
        <v>Exc</v>
      </c>
      <c r="J341" t="str">
        <f>INDEX(products!$A$1:$G$49, MATCH(orders!$D341, products!$A$1:$A$49, 0), MATCH(orders!J$1, products!$A$1:$G$1, 0))</f>
        <v>D</v>
      </c>
      <c r="K341" s="4">
        <f>INDEX(products!$A$1:$G$49, MATCH(orders!$D341, products!$A$1:$A$49, 0), MATCH(orders!K$1, products!$A$1:$G$1, 0))</f>
        <v>0.2</v>
      </c>
      <c r="L341" s="5">
        <f>INDEX(products!$A$1:$G$49, MATCH(orders!$D341, products!$A$1:$A$49, 0), MATCH(orders!L$1, products!$A$1:$G$1, 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 MATCH(orders!$D342, products!$A$1:$A$49, 0), MATCH(orders!I$1, products!$A$1:$G$1, 0))</f>
        <v>Exc</v>
      </c>
      <c r="J342" t="str">
        <f>INDEX(products!$A$1:$G$49, MATCH(orders!$D342, products!$A$1:$A$49, 0), MATCH(orders!J$1, products!$A$1:$G$1, 0))</f>
        <v>D</v>
      </c>
      <c r="K342" s="4">
        <f>INDEX(products!$A$1:$G$49, MATCH(orders!$D342, products!$A$1:$A$49, 0), MATCH(orders!K$1, products!$A$1:$G$1, 0))</f>
        <v>0.5</v>
      </c>
      <c r="L342" s="5">
        <f>INDEX(products!$A$1:$G$49, MATCH(orders!$D342, products!$A$1:$A$49, 0), MATCH(orders!L$1, products!$A$1:$G$1, 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 MATCH(orders!$D343, products!$A$1:$A$49, 0), MATCH(orders!I$1, products!$A$1:$G$1, 0))</f>
        <v>Exc</v>
      </c>
      <c r="J343" t="str">
        <f>INDEX(products!$A$1:$G$49, MATCH(orders!$D343, products!$A$1:$A$49, 0), MATCH(orders!J$1, products!$A$1:$G$1, 0))</f>
        <v>L</v>
      </c>
      <c r="K343" s="4">
        <f>INDEX(products!$A$1:$G$49, MATCH(orders!$D343, products!$A$1:$A$49, 0), MATCH(orders!K$1, products!$A$1:$G$1, 0))</f>
        <v>0.5</v>
      </c>
      <c r="L343" s="5">
        <f>INDEX(products!$A$1:$G$49, MATCH(orders!$D343, products!$A$1:$A$49, 0), MATCH(orders!L$1, products!$A$1:$G$1, 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 MATCH(orders!$D344, products!$A$1:$A$49, 0), MATCH(orders!I$1, products!$A$1:$G$1, 0))</f>
        <v>Lib</v>
      </c>
      <c r="J344" t="str">
        <f>INDEX(products!$A$1:$G$49, MATCH(orders!$D344, products!$A$1:$A$49, 0), MATCH(orders!J$1, products!$A$1:$G$1, 0))</f>
        <v>D</v>
      </c>
      <c r="K344" s="4">
        <f>INDEX(products!$A$1:$G$49, MATCH(orders!$D344, products!$A$1:$A$49, 0), MATCH(orders!K$1, products!$A$1:$G$1, 0))</f>
        <v>0.5</v>
      </c>
      <c r="L344" s="5">
        <f>INDEX(products!$A$1:$G$49, MATCH(orders!$D344, products!$A$1:$A$49, 0), MATCH(orders!L$1, products!$A$1:$G$1, 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 MATCH(orders!$D345, products!$A$1:$A$49, 0), MATCH(orders!I$1, products!$A$1:$G$1, 0))</f>
        <v>Rob</v>
      </c>
      <c r="J345" t="str">
        <f>INDEX(products!$A$1:$G$49, MATCH(orders!$D345, products!$A$1:$A$49, 0), MATCH(orders!J$1, products!$A$1:$G$1, 0))</f>
        <v>D</v>
      </c>
      <c r="K345" s="4">
        <f>INDEX(products!$A$1:$G$49, MATCH(orders!$D345, products!$A$1:$A$49, 0), MATCH(orders!K$1, products!$A$1:$G$1, 0))</f>
        <v>0.5</v>
      </c>
      <c r="L345" s="5">
        <f>INDEX(products!$A$1:$G$49, MATCH(orders!$D345, products!$A$1:$A$49, 0), MATCH(orders!L$1, products!$A$1:$G$1, 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 MATCH(orders!$D346, products!$A$1:$A$49, 0), MATCH(orders!I$1, products!$A$1:$G$1, 0))</f>
        <v>Rob</v>
      </c>
      <c r="J346" t="str">
        <f>INDEX(products!$A$1:$G$49, MATCH(orders!$D346, products!$A$1:$A$49, 0), MATCH(orders!J$1, products!$A$1:$G$1, 0))</f>
        <v>M</v>
      </c>
      <c r="K346" s="4">
        <f>INDEX(products!$A$1:$G$49, MATCH(orders!$D346, products!$A$1:$A$49, 0), MATCH(orders!K$1, products!$A$1:$G$1, 0))</f>
        <v>1</v>
      </c>
      <c r="L346" s="5">
        <f>INDEX(products!$A$1:$G$49, MATCH(orders!$D346, products!$A$1:$A$49, 0), MATCH(orders!L$1, products!$A$1:$G$1, 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 MATCH(orders!$D347, products!$A$1:$A$49, 0), MATCH(orders!I$1, products!$A$1:$G$1, 0))</f>
        <v>Rob</v>
      </c>
      <c r="J347" t="str">
        <f>INDEX(products!$A$1:$G$49, MATCH(orders!$D347, products!$A$1:$A$49, 0), MATCH(orders!J$1, products!$A$1:$G$1, 0))</f>
        <v>L</v>
      </c>
      <c r="K347" s="4">
        <f>INDEX(products!$A$1:$G$49, MATCH(orders!$D347, products!$A$1:$A$49, 0), MATCH(orders!K$1, products!$A$1:$G$1, 0))</f>
        <v>1</v>
      </c>
      <c r="L347" s="5">
        <f>INDEX(products!$A$1:$G$49, MATCH(orders!$D347, products!$A$1:$A$49, 0), MATCH(orders!L$1, products!$A$1:$G$1, 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 MATCH(orders!$D348, products!$A$1:$A$49, 0), MATCH(orders!I$1, products!$A$1:$G$1, 0))</f>
        <v>Ara</v>
      </c>
      <c r="J348" t="str">
        <f>INDEX(products!$A$1:$G$49, MATCH(orders!$D348, products!$A$1:$A$49, 0), MATCH(orders!J$1, products!$A$1:$G$1, 0))</f>
        <v>L</v>
      </c>
      <c r="K348" s="4">
        <f>INDEX(products!$A$1:$G$49, MATCH(orders!$D348, products!$A$1:$A$49, 0), MATCH(orders!K$1, products!$A$1:$G$1, 0))</f>
        <v>0.5</v>
      </c>
      <c r="L348" s="5">
        <f>INDEX(products!$A$1:$G$49, MATCH(orders!$D348, products!$A$1:$A$49, 0), MATCH(orders!L$1, products!$A$1:$G$1, 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 MATCH(orders!$D349, products!$A$1:$A$49, 0), MATCH(orders!I$1, products!$A$1:$G$1, 0))</f>
        <v>Lib</v>
      </c>
      <c r="J349" t="str">
        <f>INDEX(products!$A$1:$G$49, MATCH(orders!$D349, products!$A$1:$A$49, 0), MATCH(orders!J$1, products!$A$1:$G$1, 0))</f>
        <v>M</v>
      </c>
      <c r="K349" s="4">
        <f>INDEX(products!$A$1:$G$49, MATCH(orders!$D349, products!$A$1:$A$49, 0), MATCH(orders!K$1, products!$A$1:$G$1, 0))</f>
        <v>1</v>
      </c>
      <c r="L349" s="5">
        <f>INDEX(products!$A$1:$G$49, MATCH(orders!$D349, products!$A$1:$A$49, 0), MATCH(orders!L$1, products!$A$1:$G$1, 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 MATCH(orders!$D350, products!$A$1:$A$49, 0), MATCH(orders!I$1, products!$A$1:$G$1, 0))</f>
        <v>Exc</v>
      </c>
      <c r="J350" t="str">
        <f>INDEX(products!$A$1:$G$49, MATCH(orders!$D350, products!$A$1:$A$49, 0), MATCH(orders!J$1, products!$A$1:$G$1, 0))</f>
        <v>L</v>
      </c>
      <c r="K350" s="4">
        <f>INDEX(products!$A$1:$G$49, MATCH(orders!$D350, products!$A$1:$A$49, 0), MATCH(orders!K$1, products!$A$1:$G$1, 0))</f>
        <v>2.5</v>
      </c>
      <c r="L350" s="5">
        <f>INDEX(products!$A$1:$G$49, MATCH(orders!$D350, products!$A$1:$A$49, 0), MATCH(orders!L$1, products!$A$1:$G$1, 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 MATCH(orders!$D351, products!$A$1:$A$49, 0), MATCH(orders!I$1, products!$A$1:$G$1, 0))</f>
        <v>Rob</v>
      </c>
      <c r="J351" t="str">
        <f>INDEX(products!$A$1:$G$49, MATCH(orders!$D351, products!$A$1:$A$49, 0), MATCH(orders!J$1, products!$A$1:$G$1, 0))</f>
        <v>L</v>
      </c>
      <c r="K351" s="4">
        <f>INDEX(products!$A$1:$G$49, MATCH(orders!$D351, products!$A$1:$A$49, 0), MATCH(orders!K$1, products!$A$1:$G$1, 0))</f>
        <v>0.2</v>
      </c>
      <c r="L351" s="5">
        <f>INDEX(products!$A$1:$G$49, MATCH(orders!$D351, products!$A$1:$A$49, 0), MATCH(orders!L$1, products!$A$1:$G$1, 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 MATCH(orders!$D352, products!$A$1:$A$49, 0), MATCH(orders!I$1, products!$A$1:$G$1, 0))</f>
        <v>Ara</v>
      </c>
      <c r="J352" t="str">
        <f>INDEX(products!$A$1:$G$49, MATCH(orders!$D352, products!$A$1:$A$49, 0), MATCH(orders!J$1, products!$A$1:$G$1, 0))</f>
        <v>D</v>
      </c>
      <c r="K352" s="4">
        <f>INDEX(products!$A$1:$G$49, MATCH(orders!$D352, products!$A$1:$A$49, 0), MATCH(orders!K$1, products!$A$1:$G$1, 0))</f>
        <v>0.5</v>
      </c>
      <c r="L352" s="5">
        <f>INDEX(products!$A$1:$G$49, MATCH(orders!$D352, products!$A$1:$A$49, 0), MATCH(orders!L$1, products!$A$1:$G$1, 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 MATCH(orders!$D353, products!$A$1:$A$49, 0), MATCH(orders!I$1, products!$A$1:$G$1, 0))</f>
        <v>Ara</v>
      </c>
      <c r="J353" t="str">
        <f>INDEX(products!$A$1:$G$49, MATCH(orders!$D353, products!$A$1:$A$49, 0), MATCH(orders!J$1, products!$A$1:$G$1, 0))</f>
        <v>M</v>
      </c>
      <c r="K353" s="4">
        <f>INDEX(products!$A$1:$G$49, MATCH(orders!$D353, products!$A$1:$A$49, 0), MATCH(orders!K$1, products!$A$1:$G$1, 0))</f>
        <v>1</v>
      </c>
      <c r="L353" s="5">
        <f>INDEX(products!$A$1:$G$49, MATCH(orders!$D353, products!$A$1:$A$49, 0), MATCH(orders!L$1, products!$A$1:$G$1, 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 MATCH(orders!$D354, products!$A$1:$A$49, 0), MATCH(orders!I$1, products!$A$1:$G$1, 0))</f>
        <v>Exc</v>
      </c>
      <c r="J354" t="str">
        <f>INDEX(products!$A$1:$G$49, MATCH(orders!$D354, products!$A$1:$A$49, 0), MATCH(orders!J$1, products!$A$1:$G$1, 0))</f>
        <v>D</v>
      </c>
      <c r="K354" s="4">
        <f>INDEX(products!$A$1:$G$49, MATCH(orders!$D354, products!$A$1:$A$49, 0), MATCH(orders!K$1, products!$A$1:$G$1, 0))</f>
        <v>0.5</v>
      </c>
      <c r="L354" s="5">
        <f>INDEX(products!$A$1:$G$49, MATCH(orders!$D354, products!$A$1:$A$49, 0), MATCH(orders!L$1, products!$A$1:$G$1, 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 MATCH(orders!$D355, products!$A$1:$A$49, 0), MATCH(orders!I$1, products!$A$1:$G$1, 0))</f>
        <v>Ara</v>
      </c>
      <c r="J355" t="str">
        <f>INDEX(products!$A$1:$G$49, MATCH(orders!$D355, products!$A$1:$A$49, 0), MATCH(orders!J$1, products!$A$1:$G$1, 0))</f>
        <v>M</v>
      </c>
      <c r="K355" s="4">
        <f>INDEX(products!$A$1:$G$49, MATCH(orders!$D355, products!$A$1:$A$49, 0), MATCH(orders!K$1, products!$A$1:$G$1, 0))</f>
        <v>0.5</v>
      </c>
      <c r="L355" s="5">
        <f>INDEX(products!$A$1:$G$49, MATCH(orders!$D355, products!$A$1:$A$49, 0), MATCH(orders!L$1, products!$A$1:$G$1, 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 MATCH(orders!$D356, products!$A$1:$A$49, 0), MATCH(orders!I$1, products!$A$1:$G$1, 0))</f>
        <v>Ara</v>
      </c>
      <c r="J356" t="str">
        <f>INDEX(products!$A$1:$G$49, MATCH(orders!$D356, products!$A$1:$A$49, 0), MATCH(orders!J$1, products!$A$1:$G$1, 0))</f>
        <v>M</v>
      </c>
      <c r="K356" s="4">
        <f>INDEX(products!$A$1:$G$49, MATCH(orders!$D356, products!$A$1:$A$49, 0), MATCH(orders!K$1, products!$A$1:$G$1, 0))</f>
        <v>2.5</v>
      </c>
      <c r="L356" s="5">
        <f>INDEX(products!$A$1:$G$49, MATCH(orders!$D356, products!$A$1:$A$49, 0), MATCH(orders!L$1, products!$A$1:$G$1, 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 MATCH(orders!$D357, products!$A$1:$A$49, 0), MATCH(orders!I$1, products!$A$1:$G$1, 0))</f>
        <v>Ara</v>
      </c>
      <c r="J357" t="str">
        <f>INDEX(products!$A$1:$G$49, MATCH(orders!$D357, products!$A$1:$A$49, 0), MATCH(orders!J$1, products!$A$1:$G$1, 0))</f>
        <v>D</v>
      </c>
      <c r="K357" s="4">
        <f>INDEX(products!$A$1:$G$49, MATCH(orders!$D357, products!$A$1:$A$49, 0), MATCH(orders!K$1, products!$A$1:$G$1, 0))</f>
        <v>2.5</v>
      </c>
      <c r="L357" s="5">
        <f>INDEX(products!$A$1:$G$49, MATCH(orders!$D357, products!$A$1:$A$49, 0), MATCH(orders!L$1, products!$A$1:$G$1, 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 MATCH(orders!$D358, products!$A$1:$A$49, 0), MATCH(orders!I$1, products!$A$1:$G$1, 0))</f>
        <v>Lib</v>
      </c>
      <c r="J358" t="str">
        <f>INDEX(products!$A$1:$G$49, MATCH(orders!$D358, products!$A$1:$A$49, 0), MATCH(orders!J$1, products!$A$1:$G$1, 0))</f>
        <v>D</v>
      </c>
      <c r="K358" s="4">
        <f>INDEX(products!$A$1:$G$49, MATCH(orders!$D358, products!$A$1:$A$49, 0), MATCH(orders!K$1, products!$A$1:$G$1, 0))</f>
        <v>1</v>
      </c>
      <c r="L358" s="5">
        <f>INDEX(products!$A$1:$G$49, MATCH(orders!$D358, products!$A$1:$A$49, 0), MATCH(orders!L$1, products!$A$1:$G$1, 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 MATCH(orders!$D359, products!$A$1:$A$49, 0), MATCH(orders!I$1, products!$A$1:$G$1, 0))</f>
        <v>Ara</v>
      </c>
      <c r="J359" t="str">
        <f>INDEX(products!$A$1:$G$49, MATCH(orders!$D359, products!$A$1:$A$49, 0), MATCH(orders!J$1, products!$A$1:$G$1, 0))</f>
        <v>M</v>
      </c>
      <c r="K359" s="4">
        <f>INDEX(products!$A$1:$G$49, MATCH(orders!$D359, products!$A$1:$A$49, 0), MATCH(orders!K$1, products!$A$1:$G$1, 0))</f>
        <v>2.5</v>
      </c>
      <c r="L359" s="5">
        <f>INDEX(products!$A$1:$G$49, MATCH(orders!$D359, products!$A$1:$A$49, 0), MATCH(orders!L$1, products!$A$1:$G$1, 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 MATCH(orders!$D360, products!$A$1:$A$49, 0), MATCH(orders!I$1, products!$A$1:$G$1, 0))</f>
        <v>Ara</v>
      </c>
      <c r="J360" t="str">
        <f>INDEX(products!$A$1:$G$49, MATCH(orders!$D360, products!$A$1:$A$49, 0), MATCH(orders!J$1, products!$A$1:$G$1, 0))</f>
        <v>L</v>
      </c>
      <c r="K360" s="4">
        <f>INDEX(products!$A$1:$G$49, MATCH(orders!$D360, products!$A$1:$A$49, 0), MATCH(orders!K$1, products!$A$1:$G$1, 0))</f>
        <v>2.5</v>
      </c>
      <c r="L360" s="5">
        <f>INDEX(products!$A$1:$G$49, MATCH(orders!$D360, products!$A$1:$A$49, 0), MATCH(orders!L$1, products!$A$1:$G$1, 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 MATCH(orders!$D361, products!$A$1:$A$49, 0), MATCH(orders!I$1, products!$A$1:$G$1, 0))</f>
        <v>Rob</v>
      </c>
      <c r="J361" t="str">
        <f>INDEX(products!$A$1:$G$49, MATCH(orders!$D361, products!$A$1:$A$49, 0), MATCH(orders!J$1, products!$A$1:$G$1, 0))</f>
        <v>L</v>
      </c>
      <c r="K361" s="4">
        <f>INDEX(products!$A$1:$G$49, MATCH(orders!$D361, products!$A$1:$A$49, 0), MATCH(orders!K$1, products!$A$1:$G$1, 0))</f>
        <v>0.2</v>
      </c>
      <c r="L361" s="5">
        <f>INDEX(products!$A$1:$G$49, MATCH(orders!$D361, products!$A$1:$A$49, 0), MATCH(orders!L$1, products!$A$1:$G$1, 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 MATCH(orders!$D362, products!$A$1:$A$49, 0), MATCH(orders!I$1, products!$A$1:$G$1, 0))</f>
        <v>Rob</v>
      </c>
      <c r="J362" t="str">
        <f>INDEX(products!$A$1:$G$49, MATCH(orders!$D362, products!$A$1:$A$49, 0), MATCH(orders!J$1, products!$A$1:$G$1, 0))</f>
        <v>D</v>
      </c>
      <c r="K362" s="4">
        <f>INDEX(products!$A$1:$G$49, MATCH(orders!$D362, products!$A$1:$A$49, 0), MATCH(orders!K$1, products!$A$1:$G$1, 0))</f>
        <v>2.5</v>
      </c>
      <c r="L362" s="5">
        <f>INDEX(products!$A$1:$G$49, MATCH(orders!$D362, products!$A$1:$A$49, 0), MATCH(orders!L$1, products!$A$1:$G$1, 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 MATCH(orders!$D363, products!$A$1:$A$49, 0), MATCH(orders!I$1, products!$A$1:$G$1, 0))</f>
        <v>Rob</v>
      </c>
      <c r="J363" t="str">
        <f>INDEX(products!$A$1:$G$49, MATCH(orders!$D363, products!$A$1:$A$49, 0), MATCH(orders!J$1, products!$A$1:$G$1, 0))</f>
        <v>M</v>
      </c>
      <c r="K363" s="4">
        <f>INDEX(products!$A$1:$G$49, MATCH(orders!$D363, products!$A$1:$A$49, 0), MATCH(orders!K$1, products!$A$1:$G$1, 0))</f>
        <v>0.5</v>
      </c>
      <c r="L363" s="5">
        <f>INDEX(products!$A$1:$G$49, MATCH(orders!$D363, products!$A$1:$A$49, 0), MATCH(orders!L$1, products!$A$1:$G$1, 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 MATCH(orders!$D364, products!$A$1:$A$49, 0), MATCH(orders!I$1, products!$A$1:$G$1, 0))</f>
        <v>Exc</v>
      </c>
      <c r="J364" t="str">
        <f>INDEX(products!$A$1:$G$49, MATCH(orders!$D364, products!$A$1:$A$49, 0), MATCH(orders!J$1, products!$A$1:$G$1, 0))</f>
        <v>L</v>
      </c>
      <c r="K364" s="4">
        <f>INDEX(products!$A$1:$G$49, MATCH(orders!$D364, products!$A$1:$A$49, 0), MATCH(orders!K$1, products!$A$1:$G$1, 0))</f>
        <v>1</v>
      </c>
      <c r="L364" s="5">
        <f>INDEX(products!$A$1:$G$49, MATCH(orders!$D364, products!$A$1:$A$49, 0), MATCH(orders!L$1, products!$A$1:$G$1, 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 MATCH(orders!$D365, products!$A$1:$A$49, 0), MATCH(orders!I$1, products!$A$1:$G$1, 0))</f>
        <v>Lib</v>
      </c>
      <c r="J365" t="str">
        <f>INDEX(products!$A$1:$G$49, MATCH(orders!$D365, products!$A$1:$A$49, 0), MATCH(orders!J$1, products!$A$1:$G$1, 0))</f>
        <v>M</v>
      </c>
      <c r="K365" s="4">
        <f>INDEX(products!$A$1:$G$49, MATCH(orders!$D365, products!$A$1:$A$49, 0), MATCH(orders!K$1, products!$A$1:$G$1, 0))</f>
        <v>1</v>
      </c>
      <c r="L365" s="5">
        <f>INDEX(products!$A$1:$G$49, MATCH(orders!$D365, products!$A$1:$A$49, 0), MATCH(orders!L$1, products!$A$1:$G$1, 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 MATCH(orders!$D366, products!$A$1:$A$49, 0), MATCH(orders!I$1, products!$A$1:$G$1, 0))</f>
        <v>Exc</v>
      </c>
      <c r="J366" t="str">
        <f>INDEX(products!$A$1:$G$49, MATCH(orders!$D366, products!$A$1:$A$49, 0), MATCH(orders!J$1, products!$A$1:$G$1, 0))</f>
        <v>D</v>
      </c>
      <c r="K366" s="4">
        <f>INDEX(products!$A$1:$G$49, MATCH(orders!$D366, products!$A$1:$A$49, 0), MATCH(orders!K$1, products!$A$1:$G$1, 0))</f>
        <v>1</v>
      </c>
      <c r="L366" s="5">
        <f>INDEX(products!$A$1:$G$49, MATCH(orders!$D366, products!$A$1:$A$49, 0), MATCH(orders!L$1, products!$A$1:$G$1, 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 MATCH(orders!$D367, products!$A$1:$A$49, 0), MATCH(orders!I$1, products!$A$1:$G$1, 0))</f>
        <v>Lib</v>
      </c>
      <c r="J367" t="str">
        <f>INDEX(products!$A$1:$G$49, MATCH(orders!$D367, products!$A$1:$A$49, 0), MATCH(orders!J$1, products!$A$1:$G$1, 0))</f>
        <v>D</v>
      </c>
      <c r="K367" s="4">
        <f>INDEX(products!$A$1:$G$49, MATCH(orders!$D367, products!$A$1:$A$49, 0), MATCH(orders!K$1, products!$A$1:$G$1, 0))</f>
        <v>0.5</v>
      </c>
      <c r="L367" s="5">
        <f>INDEX(products!$A$1:$G$49, MATCH(orders!$D367, products!$A$1:$A$49, 0), MATCH(orders!L$1, products!$A$1:$G$1, 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 MATCH(orders!$D368, products!$A$1:$A$49, 0), MATCH(orders!I$1, products!$A$1:$G$1, 0))</f>
        <v>Exc</v>
      </c>
      <c r="J368" t="str">
        <f>INDEX(products!$A$1:$G$49, MATCH(orders!$D368, products!$A$1:$A$49, 0), MATCH(orders!J$1, products!$A$1:$G$1, 0))</f>
        <v>D</v>
      </c>
      <c r="K368" s="4">
        <f>INDEX(products!$A$1:$G$49, MATCH(orders!$D368, products!$A$1:$A$49, 0), MATCH(orders!K$1, products!$A$1:$G$1, 0))</f>
        <v>0.5</v>
      </c>
      <c r="L368" s="5">
        <f>INDEX(products!$A$1:$G$49, MATCH(orders!$D368, products!$A$1:$A$49, 0), MATCH(orders!L$1, products!$A$1:$G$1, 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 MATCH(orders!$D369, products!$A$1:$A$49, 0), MATCH(orders!I$1, products!$A$1:$G$1, 0))</f>
        <v>Lib</v>
      </c>
      <c r="J369" t="str">
        <f>INDEX(products!$A$1:$G$49, MATCH(orders!$D369, products!$A$1:$A$49, 0), MATCH(orders!J$1, products!$A$1:$G$1, 0))</f>
        <v>M</v>
      </c>
      <c r="K369" s="4">
        <f>INDEX(products!$A$1:$G$49, MATCH(orders!$D369, products!$A$1:$A$49, 0), MATCH(orders!K$1, products!$A$1:$G$1, 0))</f>
        <v>0.2</v>
      </c>
      <c r="L369" s="5">
        <f>INDEX(products!$A$1:$G$49, MATCH(orders!$D369, products!$A$1:$A$49, 0), MATCH(orders!L$1, products!$A$1:$G$1, 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 MATCH(orders!$D370, products!$A$1:$A$49, 0), MATCH(orders!I$1, products!$A$1:$G$1, 0))</f>
        <v>Exc</v>
      </c>
      <c r="J370" t="str">
        <f>INDEX(products!$A$1:$G$49, MATCH(orders!$D370, products!$A$1:$A$49, 0), MATCH(orders!J$1, products!$A$1:$G$1, 0))</f>
        <v>M</v>
      </c>
      <c r="K370" s="4">
        <f>INDEX(products!$A$1:$G$49, MATCH(orders!$D370, products!$A$1:$A$49, 0), MATCH(orders!K$1, products!$A$1:$G$1, 0))</f>
        <v>2.5</v>
      </c>
      <c r="L370" s="5">
        <f>INDEX(products!$A$1:$G$49, MATCH(orders!$D370, products!$A$1:$A$49, 0), MATCH(orders!L$1, products!$A$1:$G$1, 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 MATCH(orders!$D371, products!$A$1:$A$49, 0), MATCH(orders!I$1, products!$A$1:$G$1, 0))</f>
        <v>Exc</v>
      </c>
      <c r="J371" t="str">
        <f>INDEX(products!$A$1:$G$49, MATCH(orders!$D371, products!$A$1:$A$49, 0), MATCH(orders!J$1, products!$A$1:$G$1, 0))</f>
        <v>L</v>
      </c>
      <c r="K371" s="4">
        <f>INDEX(products!$A$1:$G$49, MATCH(orders!$D371, products!$A$1:$A$49, 0), MATCH(orders!K$1, products!$A$1:$G$1, 0))</f>
        <v>0.5</v>
      </c>
      <c r="L371" s="5">
        <f>INDEX(products!$A$1:$G$49, MATCH(orders!$D371, products!$A$1:$A$49, 0), MATCH(orders!L$1, products!$A$1:$G$1, 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 MATCH(orders!$D372, products!$A$1:$A$49, 0), MATCH(orders!I$1, products!$A$1:$G$1, 0))</f>
        <v>Exc</v>
      </c>
      <c r="J372" t="str">
        <f>INDEX(products!$A$1:$G$49, MATCH(orders!$D372, products!$A$1:$A$49, 0), MATCH(orders!J$1, products!$A$1:$G$1, 0))</f>
        <v>D</v>
      </c>
      <c r="K372" s="4">
        <f>INDEX(products!$A$1:$G$49, MATCH(orders!$D372, products!$A$1:$A$49, 0), MATCH(orders!K$1, products!$A$1:$G$1, 0))</f>
        <v>1</v>
      </c>
      <c r="L372" s="5">
        <f>INDEX(products!$A$1:$G$49, MATCH(orders!$D372, products!$A$1:$A$49, 0), MATCH(orders!L$1, products!$A$1:$G$1, 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 MATCH(orders!$D373, products!$A$1:$A$49, 0), MATCH(orders!I$1, products!$A$1:$G$1, 0))</f>
        <v>Ara</v>
      </c>
      <c r="J373" t="str">
        <f>INDEX(products!$A$1:$G$49, MATCH(orders!$D373, products!$A$1:$A$49, 0), MATCH(orders!J$1, products!$A$1:$G$1, 0))</f>
        <v>L</v>
      </c>
      <c r="K373" s="4">
        <f>INDEX(products!$A$1:$G$49, MATCH(orders!$D373, products!$A$1:$A$49, 0), MATCH(orders!K$1, products!$A$1:$G$1, 0))</f>
        <v>0.5</v>
      </c>
      <c r="L373" s="5">
        <f>INDEX(products!$A$1:$G$49, MATCH(orders!$D373, products!$A$1:$A$49, 0), MATCH(orders!L$1, products!$A$1:$G$1, 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 MATCH(orders!$D374, products!$A$1:$A$49, 0), MATCH(orders!I$1, products!$A$1:$G$1, 0))</f>
        <v>Rob</v>
      </c>
      <c r="J374" t="str">
        <f>INDEX(products!$A$1:$G$49, MATCH(orders!$D374, products!$A$1:$A$49, 0), MATCH(orders!J$1, products!$A$1:$G$1, 0))</f>
        <v>L</v>
      </c>
      <c r="K374" s="4">
        <f>INDEX(products!$A$1:$G$49, MATCH(orders!$D374, products!$A$1:$A$49, 0), MATCH(orders!K$1, products!$A$1:$G$1, 0))</f>
        <v>0.5</v>
      </c>
      <c r="L374" s="5">
        <f>INDEX(products!$A$1:$G$49, MATCH(orders!$D374, products!$A$1:$A$49, 0), MATCH(orders!L$1, products!$A$1:$G$1, 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 MATCH(orders!$D375, products!$A$1:$A$49, 0), MATCH(orders!I$1, products!$A$1:$G$1, 0))</f>
        <v>Ara</v>
      </c>
      <c r="J375" t="str">
        <f>INDEX(products!$A$1:$G$49, MATCH(orders!$D375, products!$A$1:$A$49, 0), MATCH(orders!J$1, products!$A$1:$G$1, 0))</f>
        <v>D</v>
      </c>
      <c r="K375" s="4">
        <f>INDEX(products!$A$1:$G$49, MATCH(orders!$D375, products!$A$1:$A$49, 0), MATCH(orders!K$1, products!$A$1:$G$1, 0))</f>
        <v>0.5</v>
      </c>
      <c r="L375" s="5">
        <f>INDEX(products!$A$1:$G$49, MATCH(orders!$D375, products!$A$1:$A$49, 0), MATCH(orders!L$1, products!$A$1:$G$1, 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 MATCH(orders!$D376, products!$A$1:$A$49, 0), MATCH(orders!I$1, products!$A$1:$G$1, 0))</f>
        <v>Lib</v>
      </c>
      <c r="J376" t="str">
        <f>INDEX(products!$A$1:$G$49, MATCH(orders!$D376, products!$A$1:$A$49, 0), MATCH(orders!J$1, products!$A$1:$G$1, 0))</f>
        <v>L</v>
      </c>
      <c r="K376" s="4">
        <f>INDEX(products!$A$1:$G$49, MATCH(orders!$D376, products!$A$1:$A$49, 0), MATCH(orders!K$1, products!$A$1:$G$1, 0))</f>
        <v>0.5</v>
      </c>
      <c r="L376" s="5">
        <f>INDEX(products!$A$1:$G$49, MATCH(orders!$D376, products!$A$1:$A$49, 0), MATCH(orders!L$1, products!$A$1:$G$1, 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 MATCH(orders!$D377, products!$A$1:$A$49, 0), MATCH(orders!I$1, products!$A$1:$G$1, 0))</f>
        <v>Ara</v>
      </c>
      <c r="J377" t="str">
        <f>INDEX(products!$A$1:$G$49, MATCH(orders!$D377, products!$A$1:$A$49, 0), MATCH(orders!J$1, products!$A$1:$G$1, 0))</f>
        <v>M</v>
      </c>
      <c r="K377" s="4">
        <f>INDEX(products!$A$1:$G$49, MATCH(orders!$D377, products!$A$1:$A$49, 0), MATCH(orders!K$1, products!$A$1:$G$1, 0))</f>
        <v>0.2</v>
      </c>
      <c r="L377" s="5">
        <f>INDEX(products!$A$1:$G$49, MATCH(orders!$D377, products!$A$1:$A$49, 0), MATCH(orders!L$1, products!$A$1:$G$1, 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 MATCH(orders!$D378, products!$A$1:$A$49, 0), MATCH(orders!I$1, products!$A$1:$G$1, 0))</f>
        <v>Rob</v>
      </c>
      <c r="J378" t="str">
        <f>INDEX(products!$A$1:$G$49, MATCH(orders!$D378, products!$A$1:$A$49, 0), MATCH(orders!J$1, products!$A$1:$G$1, 0))</f>
        <v>M</v>
      </c>
      <c r="K378" s="4">
        <f>INDEX(products!$A$1:$G$49, MATCH(orders!$D378, products!$A$1:$A$49, 0), MATCH(orders!K$1, products!$A$1:$G$1, 0))</f>
        <v>0.5</v>
      </c>
      <c r="L378" s="5">
        <f>INDEX(products!$A$1:$G$49, MATCH(orders!$D378, products!$A$1:$A$49, 0), MATCH(orders!L$1, products!$A$1:$G$1, 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 MATCH(orders!$D379, products!$A$1:$A$49, 0), MATCH(orders!I$1, products!$A$1:$G$1, 0))</f>
        <v>Rob</v>
      </c>
      <c r="J379" t="str">
        <f>INDEX(products!$A$1:$G$49, MATCH(orders!$D379, products!$A$1:$A$49, 0), MATCH(orders!J$1, products!$A$1:$G$1, 0))</f>
        <v>D</v>
      </c>
      <c r="K379" s="4">
        <f>INDEX(products!$A$1:$G$49, MATCH(orders!$D379, products!$A$1:$A$49, 0), MATCH(orders!K$1, products!$A$1:$G$1, 0))</f>
        <v>0.2</v>
      </c>
      <c r="L379" s="5">
        <f>INDEX(products!$A$1:$G$49, MATCH(orders!$D379, products!$A$1:$A$49, 0), MATCH(orders!L$1, products!$A$1:$G$1, 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 MATCH(orders!$D380, products!$A$1:$A$49, 0), MATCH(orders!I$1, products!$A$1:$G$1, 0))</f>
        <v>Ara</v>
      </c>
      <c r="J380" t="str">
        <f>INDEX(products!$A$1:$G$49, MATCH(orders!$D380, products!$A$1:$A$49, 0), MATCH(orders!J$1, products!$A$1:$G$1, 0))</f>
        <v>L</v>
      </c>
      <c r="K380" s="4">
        <f>INDEX(products!$A$1:$G$49, MATCH(orders!$D380, products!$A$1:$A$49, 0), MATCH(orders!K$1, products!$A$1:$G$1, 0))</f>
        <v>0.5</v>
      </c>
      <c r="L380" s="5">
        <f>INDEX(products!$A$1:$G$49, MATCH(orders!$D380, products!$A$1:$A$49, 0), MATCH(orders!L$1, products!$A$1:$G$1, 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 MATCH(orders!$D381, products!$A$1:$A$49, 0), MATCH(orders!I$1, products!$A$1:$G$1, 0))</f>
        <v>Rob</v>
      </c>
      <c r="J381" t="str">
        <f>INDEX(products!$A$1:$G$49, MATCH(orders!$D381, products!$A$1:$A$49, 0), MATCH(orders!J$1, products!$A$1:$G$1, 0))</f>
        <v>L</v>
      </c>
      <c r="K381" s="4">
        <f>INDEX(products!$A$1:$G$49, MATCH(orders!$D381, products!$A$1:$A$49, 0), MATCH(orders!K$1, products!$A$1:$G$1, 0))</f>
        <v>0.5</v>
      </c>
      <c r="L381" s="5">
        <f>INDEX(products!$A$1:$G$49, MATCH(orders!$D381, products!$A$1:$A$49, 0), MATCH(orders!L$1, products!$A$1:$G$1, 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 MATCH(orders!$D382, products!$A$1:$A$49, 0), MATCH(orders!I$1, products!$A$1:$G$1, 0))</f>
        <v>Lib</v>
      </c>
      <c r="J382" t="str">
        <f>INDEX(products!$A$1:$G$49, MATCH(orders!$D382, products!$A$1:$A$49, 0), MATCH(orders!J$1, products!$A$1:$G$1, 0))</f>
        <v>D</v>
      </c>
      <c r="K382" s="4">
        <f>INDEX(products!$A$1:$G$49, MATCH(orders!$D382, products!$A$1:$A$49, 0), MATCH(orders!K$1, products!$A$1:$G$1, 0))</f>
        <v>0.5</v>
      </c>
      <c r="L382" s="5">
        <f>INDEX(products!$A$1:$G$49, MATCH(orders!$D382, products!$A$1:$A$49, 0), MATCH(orders!L$1, products!$A$1:$G$1, 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 MATCH(orders!$D383, products!$A$1:$A$49, 0), MATCH(orders!I$1, products!$A$1:$G$1, 0))</f>
        <v>Ara</v>
      </c>
      <c r="J383" t="str">
        <f>INDEX(products!$A$1:$G$49, MATCH(orders!$D383, products!$A$1:$A$49, 0), MATCH(orders!J$1, products!$A$1:$G$1, 0))</f>
        <v>D</v>
      </c>
      <c r="K383" s="4">
        <f>INDEX(products!$A$1:$G$49, MATCH(orders!$D383, products!$A$1:$A$49, 0), MATCH(orders!K$1, products!$A$1:$G$1, 0))</f>
        <v>0.2</v>
      </c>
      <c r="L383" s="5">
        <f>INDEX(products!$A$1:$G$49, MATCH(orders!$D383, products!$A$1:$A$49, 0), MATCH(orders!L$1, products!$A$1:$G$1, 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 MATCH(orders!$D384, products!$A$1:$A$49, 0), MATCH(orders!I$1, products!$A$1:$G$1, 0))</f>
        <v>Exc</v>
      </c>
      <c r="J384" t="str">
        <f>INDEX(products!$A$1:$G$49, MATCH(orders!$D384, products!$A$1:$A$49, 0), MATCH(orders!J$1, products!$A$1:$G$1, 0))</f>
        <v>D</v>
      </c>
      <c r="K384" s="4">
        <f>INDEX(products!$A$1:$G$49, MATCH(orders!$D384, products!$A$1:$A$49, 0), MATCH(orders!K$1, products!$A$1:$G$1, 0))</f>
        <v>0.5</v>
      </c>
      <c r="L384" s="5">
        <f>INDEX(products!$A$1:$G$49, MATCH(orders!$D384, products!$A$1:$A$49, 0), MATCH(orders!L$1, products!$A$1:$G$1, 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 MATCH(orders!$D385, products!$A$1:$A$49, 0), MATCH(orders!I$1, products!$A$1:$G$1, 0))</f>
        <v>Exc</v>
      </c>
      <c r="J385" t="str">
        <f>INDEX(products!$A$1:$G$49, MATCH(orders!$D385, products!$A$1:$A$49, 0), MATCH(orders!J$1, products!$A$1:$G$1, 0))</f>
        <v>L</v>
      </c>
      <c r="K385" s="4">
        <f>INDEX(products!$A$1:$G$49, MATCH(orders!$D385, products!$A$1:$A$49, 0), MATCH(orders!K$1, products!$A$1:$G$1, 0))</f>
        <v>0.5</v>
      </c>
      <c r="L385" s="5">
        <f>INDEX(products!$A$1:$G$49, MATCH(orders!$D385, products!$A$1:$A$49, 0), MATCH(orders!L$1, products!$A$1:$G$1, 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 MATCH(orders!$D386, products!$A$1:$A$49, 0), MATCH(orders!I$1, products!$A$1:$G$1, 0))</f>
        <v>Ara</v>
      </c>
      <c r="J386" t="str">
        <f>INDEX(products!$A$1:$G$49, MATCH(orders!$D386, products!$A$1:$A$49, 0), MATCH(orders!J$1, products!$A$1:$G$1, 0))</f>
        <v>L</v>
      </c>
      <c r="K386" s="4">
        <f>INDEX(products!$A$1:$G$49, MATCH(orders!$D386, products!$A$1:$A$49, 0), MATCH(orders!K$1, products!$A$1:$G$1, 0))</f>
        <v>2.5</v>
      </c>
      <c r="L386" s="5">
        <f>INDEX(products!$A$1:$G$49, MATCH(orders!$D386, products!$A$1:$A$49, 0), MATCH(orders!L$1, products!$A$1:$G$1, 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 MATCH(orders!$D387, products!$A$1:$A$49, 0), MATCH(orders!I$1, products!$A$1:$G$1, 0))</f>
        <v>Lib</v>
      </c>
      <c r="J387" t="str">
        <f>INDEX(products!$A$1:$G$49, MATCH(orders!$D387, products!$A$1:$A$49, 0), MATCH(orders!J$1, products!$A$1:$G$1, 0))</f>
        <v>M</v>
      </c>
      <c r="K387" s="4">
        <f>INDEX(products!$A$1:$G$49, MATCH(orders!$D387, products!$A$1:$A$49, 0), MATCH(orders!K$1, products!$A$1:$G$1, 0))</f>
        <v>0.5</v>
      </c>
      <c r="L387" s="5">
        <f>INDEX(products!$A$1:$G$49, MATCH(orders!$D387, products!$A$1:$A$49, 0), MATCH(orders!L$1, products!$A$1:$G$1, 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 MATCH(orders!$D388, products!$A$1:$A$49, 0), MATCH(orders!I$1, products!$A$1:$G$1, 0))</f>
        <v>Ara</v>
      </c>
      <c r="J388" t="str">
        <f>INDEX(products!$A$1:$G$49, MATCH(orders!$D388, products!$A$1:$A$49, 0), MATCH(orders!J$1, products!$A$1:$G$1, 0))</f>
        <v>D</v>
      </c>
      <c r="K388" s="4">
        <f>INDEX(products!$A$1:$G$49, MATCH(orders!$D388, products!$A$1:$A$49, 0), MATCH(orders!K$1, products!$A$1:$G$1, 0))</f>
        <v>0.2</v>
      </c>
      <c r="L388" s="5">
        <f>INDEX(products!$A$1:$G$49, MATCH(orders!$D388, products!$A$1:$A$49, 0), MATCH(orders!L$1, products!$A$1:$G$1, 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 MATCH(orders!$D389, products!$A$1:$A$49, 0), MATCH(orders!I$1, products!$A$1:$G$1, 0))</f>
        <v>Exc</v>
      </c>
      <c r="J389" t="str">
        <f>INDEX(products!$A$1:$G$49, MATCH(orders!$D389, products!$A$1:$A$49, 0), MATCH(orders!J$1, products!$A$1:$G$1, 0))</f>
        <v>L</v>
      </c>
      <c r="K389" s="4">
        <f>INDEX(products!$A$1:$G$49, MATCH(orders!$D389, products!$A$1:$A$49, 0), MATCH(orders!K$1, products!$A$1:$G$1, 0))</f>
        <v>1</v>
      </c>
      <c r="L389" s="5">
        <f>INDEX(products!$A$1:$G$49, MATCH(orders!$D389, products!$A$1:$A$49, 0), MATCH(orders!L$1, products!$A$1:$G$1, 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 MATCH(orders!$D390, products!$A$1:$A$49, 0), MATCH(orders!I$1, products!$A$1:$G$1, 0))</f>
        <v>Lib</v>
      </c>
      <c r="J390" t="str">
        <f>INDEX(products!$A$1:$G$49, MATCH(orders!$D390, products!$A$1:$A$49, 0), MATCH(orders!J$1, products!$A$1:$G$1, 0))</f>
        <v>D</v>
      </c>
      <c r="K390" s="4">
        <f>INDEX(products!$A$1:$G$49, MATCH(orders!$D390, products!$A$1:$A$49, 0), MATCH(orders!K$1, products!$A$1:$G$1, 0))</f>
        <v>0.2</v>
      </c>
      <c r="L390" s="5">
        <f>INDEX(products!$A$1:$G$49, MATCH(orders!$D390, products!$A$1:$A$49, 0), MATCH(orders!L$1, products!$A$1:$G$1, 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 MATCH(orders!$D391, products!$A$1:$A$49, 0), MATCH(orders!I$1, products!$A$1:$G$1, 0))</f>
        <v>Lib</v>
      </c>
      <c r="J391" t="str">
        <f>INDEX(products!$A$1:$G$49, MATCH(orders!$D391, products!$A$1:$A$49, 0), MATCH(orders!J$1, products!$A$1:$G$1, 0))</f>
        <v>D</v>
      </c>
      <c r="K391" s="4">
        <f>INDEX(products!$A$1:$G$49, MATCH(orders!$D391, products!$A$1:$A$49, 0), MATCH(orders!K$1, products!$A$1:$G$1, 0))</f>
        <v>0.5</v>
      </c>
      <c r="L391" s="5">
        <f>INDEX(products!$A$1:$G$49, MATCH(orders!$D391, products!$A$1:$A$49, 0), MATCH(orders!L$1, products!$A$1:$G$1, 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 MATCH(orders!$D392, products!$A$1:$A$49, 0), MATCH(orders!I$1, products!$A$1:$G$1, 0))</f>
        <v>Exc</v>
      </c>
      <c r="J392" t="str">
        <f>INDEX(products!$A$1:$G$49, MATCH(orders!$D392, products!$A$1:$A$49, 0), MATCH(orders!J$1, products!$A$1:$G$1, 0))</f>
        <v>D</v>
      </c>
      <c r="K392" s="4">
        <f>INDEX(products!$A$1:$G$49, MATCH(orders!$D392, products!$A$1:$A$49, 0), MATCH(orders!K$1, products!$A$1:$G$1, 0))</f>
        <v>0.5</v>
      </c>
      <c r="L392" s="5">
        <f>INDEX(products!$A$1:$G$49, MATCH(orders!$D392, products!$A$1:$A$49, 0), MATCH(orders!L$1, products!$A$1:$G$1, 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 MATCH(orders!$D393, products!$A$1:$A$49, 0), MATCH(orders!I$1, products!$A$1:$G$1, 0))</f>
        <v>Ara</v>
      </c>
      <c r="J393" t="str">
        <f>INDEX(products!$A$1:$G$49, MATCH(orders!$D393, products!$A$1:$A$49, 0), MATCH(orders!J$1, products!$A$1:$G$1, 0))</f>
        <v>M</v>
      </c>
      <c r="K393" s="4">
        <f>INDEX(products!$A$1:$G$49, MATCH(orders!$D393, products!$A$1:$A$49, 0), MATCH(orders!K$1, products!$A$1:$G$1, 0))</f>
        <v>0.5</v>
      </c>
      <c r="L393" s="5">
        <f>INDEX(products!$A$1:$G$49, MATCH(orders!$D393, products!$A$1:$A$49, 0), MATCH(orders!L$1, products!$A$1:$G$1, 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 MATCH(orders!$D394, products!$A$1:$A$49, 0), MATCH(orders!I$1, products!$A$1:$G$1, 0))</f>
        <v>Exc</v>
      </c>
      <c r="J394" t="str">
        <f>INDEX(products!$A$1:$G$49, MATCH(orders!$D394, products!$A$1:$A$49, 0), MATCH(orders!J$1, products!$A$1:$G$1, 0))</f>
        <v>L</v>
      </c>
      <c r="K394" s="4">
        <f>INDEX(products!$A$1:$G$49, MATCH(orders!$D394, products!$A$1:$A$49, 0), MATCH(orders!K$1, products!$A$1:$G$1, 0))</f>
        <v>1</v>
      </c>
      <c r="L394" s="5">
        <f>INDEX(products!$A$1:$G$49, MATCH(orders!$D394, products!$A$1:$A$49, 0), MATCH(orders!L$1, products!$A$1:$G$1, 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 MATCH(orders!$D395, products!$A$1:$A$49, 0), MATCH(orders!I$1, products!$A$1:$G$1, 0))</f>
        <v>Ara</v>
      </c>
      <c r="J395" t="str">
        <f>INDEX(products!$A$1:$G$49, MATCH(orders!$D395, products!$A$1:$A$49, 0), MATCH(orders!J$1, products!$A$1:$G$1, 0))</f>
        <v>L</v>
      </c>
      <c r="K395" s="4">
        <f>INDEX(products!$A$1:$G$49, MATCH(orders!$D395, products!$A$1:$A$49, 0), MATCH(orders!K$1, products!$A$1:$G$1, 0))</f>
        <v>0.2</v>
      </c>
      <c r="L395" s="5">
        <f>INDEX(products!$A$1:$G$49, MATCH(orders!$D395, products!$A$1:$A$49, 0), MATCH(orders!L$1, products!$A$1:$G$1, 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 MATCH(orders!$D396, products!$A$1:$A$49, 0), MATCH(orders!I$1, products!$A$1:$G$1, 0))</f>
        <v>Rob</v>
      </c>
      <c r="J396" t="str">
        <f>INDEX(products!$A$1:$G$49, MATCH(orders!$D396, products!$A$1:$A$49, 0), MATCH(orders!J$1, products!$A$1:$G$1, 0))</f>
        <v>L</v>
      </c>
      <c r="K396" s="4">
        <f>INDEX(products!$A$1:$G$49, MATCH(orders!$D396, products!$A$1:$A$49, 0), MATCH(orders!K$1, products!$A$1:$G$1, 0))</f>
        <v>2.5</v>
      </c>
      <c r="L396" s="5">
        <f>INDEX(products!$A$1:$G$49, MATCH(orders!$D396, products!$A$1:$A$49, 0), MATCH(orders!L$1, products!$A$1:$G$1, 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 MATCH(orders!$D397, products!$A$1:$A$49, 0), MATCH(orders!I$1, products!$A$1:$G$1, 0))</f>
        <v>Lib</v>
      </c>
      <c r="J397" t="str">
        <f>INDEX(products!$A$1:$G$49, MATCH(orders!$D397, products!$A$1:$A$49, 0), MATCH(orders!J$1, products!$A$1:$G$1, 0))</f>
        <v>D</v>
      </c>
      <c r="K397" s="4">
        <f>INDEX(products!$A$1:$G$49, MATCH(orders!$D397, products!$A$1:$A$49, 0), MATCH(orders!K$1, products!$A$1:$G$1, 0))</f>
        <v>0.5</v>
      </c>
      <c r="L397" s="5">
        <f>INDEX(products!$A$1:$G$49, MATCH(orders!$D397, products!$A$1:$A$49, 0), MATCH(orders!L$1, products!$A$1:$G$1, 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 MATCH(orders!$D398, products!$A$1:$A$49, 0), MATCH(orders!I$1, products!$A$1:$G$1, 0))</f>
        <v>Ara</v>
      </c>
      <c r="J398" t="str">
        <f>INDEX(products!$A$1:$G$49, MATCH(orders!$D398, products!$A$1:$A$49, 0), MATCH(orders!J$1, products!$A$1:$G$1, 0))</f>
        <v>L</v>
      </c>
      <c r="K398" s="4">
        <f>INDEX(products!$A$1:$G$49, MATCH(orders!$D398, products!$A$1:$A$49, 0), MATCH(orders!K$1, products!$A$1:$G$1, 0))</f>
        <v>0.5</v>
      </c>
      <c r="L398" s="5">
        <f>INDEX(products!$A$1:$G$49, MATCH(orders!$D398, products!$A$1:$A$49, 0), MATCH(orders!L$1, products!$A$1:$G$1, 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 MATCH(orders!$D399, products!$A$1:$A$49, 0), MATCH(orders!I$1, products!$A$1:$G$1, 0))</f>
        <v>Lib</v>
      </c>
      <c r="J399" t="str">
        <f>INDEX(products!$A$1:$G$49, MATCH(orders!$D399, products!$A$1:$A$49, 0), MATCH(orders!J$1, products!$A$1:$G$1, 0))</f>
        <v>D</v>
      </c>
      <c r="K399" s="4">
        <f>INDEX(products!$A$1:$G$49, MATCH(orders!$D399, products!$A$1:$A$49, 0), MATCH(orders!K$1, products!$A$1:$G$1, 0))</f>
        <v>0.5</v>
      </c>
      <c r="L399" s="5">
        <f>INDEX(products!$A$1:$G$49, MATCH(orders!$D399, products!$A$1:$A$49, 0), MATCH(orders!L$1, products!$A$1:$G$1, 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 MATCH(orders!$D400, products!$A$1:$A$49, 0), MATCH(orders!I$1, products!$A$1:$G$1, 0))</f>
        <v>Ara</v>
      </c>
      <c r="J400" t="str">
        <f>INDEX(products!$A$1:$G$49, MATCH(orders!$D400, products!$A$1:$A$49, 0), MATCH(orders!J$1, products!$A$1:$G$1, 0))</f>
        <v>D</v>
      </c>
      <c r="K400" s="4">
        <f>INDEX(products!$A$1:$G$49, MATCH(orders!$D400, products!$A$1:$A$49, 0), MATCH(orders!K$1, products!$A$1:$G$1, 0))</f>
        <v>0.2</v>
      </c>
      <c r="L400" s="5">
        <f>INDEX(products!$A$1:$G$49, MATCH(orders!$D400, products!$A$1:$A$49, 0), MATCH(orders!L$1, products!$A$1:$G$1, 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 MATCH(orders!$D401, products!$A$1:$A$49, 0), MATCH(orders!I$1, products!$A$1:$G$1, 0))</f>
        <v>Exc</v>
      </c>
      <c r="J401" t="str">
        <f>INDEX(products!$A$1:$G$49, MATCH(orders!$D401, products!$A$1:$A$49, 0), MATCH(orders!J$1, products!$A$1:$G$1, 0))</f>
        <v>D</v>
      </c>
      <c r="K401" s="4">
        <f>INDEX(products!$A$1:$G$49, MATCH(orders!$D401, products!$A$1:$A$49, 0), MATCH(orders!K$1, products!$A$1:$G$1, 0))</f>
        <v>2.5</v>
      </c>
      <c r="L401" s="5">
        <f>INDEX(products!$A$1:$G$49, MATCH(orders!$D401, products!$A$1:$A$49, 0), MATCH(orders!L$1, products!$A$1:$G$1, 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 MATCH(orders!$D402, products!$A$1:$A$49, 0), MATCH(orders!I$1, products!$A$1:$G$1, 0))</f>
        <v>Lib</v>
      </c>
      <c r="J402" t="str">
        <f>INDEX(products!$A$1:$G$49, MATCH(orders!$D402, products!$A$1:$A$49, 0), MATCH(orders!J$1, products!$A$1:$G$1, 0))</f>
        <v>L</v>
      </c>
      <c r="K402" s="4">
        <f>INDEX(products!$A$1:$G$49, MATCH(orders!$D402, products!$A$1:$A$49, 0), MATCH(orders!K$1, products!$A$1:$G$1, 0))</f>
        <v>1</v>
      </c>
      <c r="L402" s="5">
        <f>INDEX(products!$A$1:$G$49, MATCH(orders!$D402, products!$A$1:$A$49, 0), MATCH(orders!L$1, products!$A$1:$G$1, 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 MATCH(orders!$D403, products!$A$1:$A$49, 0), MATCH(orders!I$1, products!$A$1:$G$1, 0))</f>
        <v>Lib</v>
      </c>
      <c r="J403" t="str">
        <f>INDEX(products!$A$1:$G$49, MATCH(orders!$D403, products!$A$1:$A$49, 0), MATCH(orders!J$1, products!$A$1:$G$1, 0))</f>
        <v>M</v>
      </c>
      <c r="K403" s="4">
        <f>INDEX(products!$A$1:$G$49, MATCH(orders!$D403, products!$A$1:$A$49, 0), MATCH(orders!K$1, products!$A$1:$G$1, 0))</f>
        <v>0.2</v>
      </c>
      <c r="L403" s="5">
        <f>INDEX(products!$A$1:$G$49, MATCH(orders!$D403, products!$A$1:$A$49, 0), MATCH(orders!L$1, products!$A$1:$G$1, 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 MATCH(orders!$D404, products!$A$1:$A$49, 0), MATCH(orders!I$1, products!$A$1:$G$1, 0))</f>
        <v>Rob</v>
      </c>
      <c r="J404" t="str">
        <f>INDEX(products!$A$1:$G$49, MATCH(orders!$D404, products!$A$1:$A$49, 0), MATCH(orders!J$1, products!$A$1:$G$1, 0))</f>
        <v>D</v>
      </c>
      <c r="K404" s="4">
        <f>INDEX(products!$A$1:$G$49, MATCH(orders!$D404, products!$A$1:$A$49, 0), MATCH(orders!K$1, products!$A$1:$G$1, 0))</f>
        <v>1</v>
      </c>
      <c r="L404" s="5">
        <f>INDEX(products!$A$1:$G$49, MATCH(orders!$D404, products!$A$1:$A$49, 0), MATCH(orders!L$1, products!$A$1:$G$1, 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 MATCH(orders!$D405, products!$A$1:$A$49, 0), MATCH(orders!I$1, products!$A$1:$G$1, 0))</f>
        <v>Lib</v>
      </c>
      <c r="J405" t="str">
        <f>INDEX(products!$A$1:$G$49, MATCH(orders!$D405, products!$A$1:$A$49, 0), MATCH(orders!J$1, products!$A$1:$G$1, 0))</f>
        <v>L</v>
      </c>
      <c r="K405" s="4">
        <f>INDEX(products!$A$1:$G$49, MATCH(orders!$D405, products!$A$1:$A$49, 0), MATCH(orders!K$1, products!$A$1:$G$1, 0))</f>
        <v>0.2</v>
      </c>
      <c r="L405" s="5">
        <f>INDEX(products!$A$1:$G$49, MATCH(orders!$D405, products!$A$1:$A$49, 0), MATCH(orders!L$1, products!$A$1:$G$1, 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 MATCH(orders!$D406, products!$A$1:$A$49, 0), MATCH(orders!I$1, products!$A$1:$G$1, 0))</f>
        <v>Ara</v>
      </c>
      <c r="J406" t="str">
        <f>INDEX(products!$A$1:$G$49, MATCH(orders!$D406, products!$A$1:$A$49, 0), MATCH(orders!J$1, products!$A$1:$G$1, 0))</f>
        <v>D</v>
      </c>
      <c r="K406" s="4">
        <f>INDEX(products!$A$1:$G$49, MATCH(orders!$D406, products!$A$1:$A$49, 0), MATCH(orders!K$1, products!$A$1:$G$1, 0))</f>
        <v>1</v>
      </c>
      <c r="L406" s="5">
        <f>INDEX(products!$A$1:$G$49, MATCH(orders!$D406, products!$A$1:$A$49, 0), MATCH(orders!L$1, products!$A$1:$G$1, 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 MATCH(orders!$D407, products!$A$1:$A$49, 0), MATCH(orders!I$1, products!$A$1:$G$1, 0))</f>
        <v>Exc</v>
      </c>
      <c r="J407" t="str">
        <f>INDEX(products!$A$1:$G$49, MATCH(orders!$D407, products!$A$1:$A$49, 0), MATCH(orders!J$1, products!$A$1:$G$1, 0))</f>
        <v>M</v>
      </c>
      <c r="K407" s="4">
        <f>INDEX(products!$A$1:$G$49, MATCH(orders!$D407, products!$A$1:$A$49, 0), MATCH(orders!K$1, products!$A$1:$G$1, 0))</f>
        <v>0.5</v>
      </c>
      <c r="L407" s="5">
        <f>INDEX(products!$A$1:$G$49, MATCH(orders!$D407, products!$A$1:$A$49, 0), MATCH(orders!L$1, products!$A$1:$G$1, 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 MATCH(orders!$D408, products!$A$1:$A$49, 0), MATCH(orders!I$1, products!$A$1:$G$1, 0))</f>
        <v>Exc</v>
      </c>
      <c r="J408" t="str">
        <f>INDEX(products!$A$1:$G$49, MATCH(orders!$D408, products!$A$1:$A$49, 0), MATCH(orders!J$1, products!$A$1:$G$1, 0))</f>
        <v>M</v>
      </c>
      <c r="K408" s="4">
        <f>INDEX(products!$A$1:$G$49, MATCH(orders!$D408, products!$A$1:$A$49, 0), MATCH(orders!K$1, products!$A$1:$G$1, 0))</f>
        <v>1</v>
      </c>
      <c r="L408" s="5">
        <f>INDEX(products!$A$1:$G$49, MATCH(orders!$D408, products!$A$1:$A$49, 0), MATCH(orders!L$1, products!$A$1:$G$1, 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 MATCH(orders!$D409, products!$A$1:$A$49, 0), MATCH(orders!I$1, products!$A$1:$G$1, 0))</f>
        <v>Exc</v>
      </c>
      <c r="J409" t="str">
        <f>INDEX(products!$A$1:$G$49, MATCH(orders!$D409, products!$A$1:$A$49, 0), MATCH(orders!J$1, products!$A$1:$G$1, 0))</f>
        <v>M</v>
      </c>
      <c r="K409" s="4">
        <f>INDEX(products!$A$1:$G$49, MATCH(orders!$D409, products!$A$1:$A$49, 0), MATCH(orders!K$1, products!$A$1:$G$1, 0))</f>
        <v>0.5</v>
      </c>
      <c r="L409" s="5">
        <f>INDEX(products!$A$1:$G$49, MATCH(orders!$D409, products!$A$1:$A$49, 0), MATCH(orders!L$1, products!$A$1:$G$1, 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 MATCH(orders!$D410, products!$A$1:$A$49, 0), MATCH(orders!I$1, products!$A$1:$G$1, 0))</f>
        <v>Ara</v>
      </c>
      <c r="J410" t="str">
        <f>INDEX(products!$A$1:$G$49, MATCH(orders!$D410, products!$A$1:$A$49, 0), MATCH(orders!J$1, products!$A$1:$G$1, 0))</f>
        <v>M</v>
      </c>
      <c r="K410" s="4">
        <f>INDEX(products!$A$1:$G$49, MATCH(orders!$D410, products!$A$1:$A$49, 0), MATCH(orders!K$1, products!$A$1:$G$1, 0))</f>
        <v>2.5</v>
      </c>
      <c r="L410" s="5">
        <f>INDEX(products!$A$1:$G$49, MATCH(orders!$D410, products!$A$1:$A$49, 0), MATCH(orders!L$1, products!$A$1:$G$1, 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 MATCH(orders!$D411, products!$A$1:$A$49, 0), MATCH(orders!I$1, products!$A$1:$G$1, 0))</f>
        <v>Lib</v>
      </c>
      <c r="J411" t="str">
        <f>INDEX(products!$A$1:$G$49, MATCH(orders!$D411, products!$A$1:$A$49, 0), MATCH(orders!J$1, products!$A$1:$G$1, 0))</f>
        <v>L</v>
      </c>
      <c r="K411" s="4">
        <f>INDEX(products!$A$1:$G$49, MATCH(orders!$D411, products!$A$1:$A$49, 0), MATCH(orders!K$1, products!$A$1:$G$1, 0))</f>
        <v>1</v>
      </c>
      <c r="L411" s="5">
        <f>INDEX(products!$A$1:$G$49, MATCH(orders!$D411, products!$A$1:$A$49, 0), MATCH(orders!L$1, products!$A$1:$G$1, 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 MATCH(orders!$D412, products!$A$1:$A$49, 0), MATCH(orders!I$1, products!$A$1:$G$1, 0))</f>
        <v>Ara</v>
      </c>
      <c r="J412" t="str">
        <f>INDEX(products!$A$1:$G$49, MATCH(orders!$D412, products!$A$1:$A$49, 0), MATCH(orders!J$1, products!$A$1:$G$1, 0))</f>
        <v>L</v>
      </c>
      <c r="K412" s="4">
        <f>INDEX(products!$A$1:$G$49, MATCH(orders!$D412, products!$A$1:$A$49, 0), MATCH(orders!K$1, products!$A$1:$G$1, 0))</f>
        <v>0.2</v>
      </c>
      <c r="L412" s="5">
        <f>INDEX(products!$A$1:$G$49, MATCH(orders!$D412, products!$A$1:$A$49, 0), MATCH(orders!L$1, products!$A$1:$G$1, 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 MATCH(orders!$D413, products!$A$1:$A$49, 0), MATCH(orders!I$1, products!$A$1:$G$1, 0))</f>
        <v>Lib</v>
      </c>
      <c r="J413" t="str">
        <f>INDEX(products!$A$1:$G$49, MATCH(orders!$D413, products!$A$1:$A$49, 0), MATCH(orders!J$1, products!$A$1:$G$1, 0))</f>
        <v>M</v>
      </c>
      <c r="K413" s="4">
        <f>INDEX(products!$A$1:$G$49, MATCH(orders!$D413, products!$A$1:$A$49, 0), MATCH(orders!K$1, products!$A$1:$G$1, 0))</f>
        <v>1</v>
      </c>
      <c r="L413" s="5">
        <f>INDEX(products!$A$1:$G$49, MATCH(orders!$D413, products!$A$1:$A$49, 0), MATCH(orders!L$1, products!$A$1:$G$1, 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 MATCH(orders!$D414, products!$A$1:$A$49, 0), MATCH(orders!I$1, products!$A$1:$G$1, 0))</f>
        <v>Ara</v>
      </c>
      <c r="J414" t="str">
        <f>INDEX(products!$A$1:$G$49, MATCH(orders!$D414, products!$A$1:$A$49, 0), MATCH(orders!J$1, products!$A$1:$G$1, 0))</f>
        <v>M</v>
      </c>
      <c r="K414" s="4">
        <f>INDEX(products!$A$1:$G$49, MATCH(orders!$D414, products!$A$1:$A$49, 0), MATCH(orders!K$1, products!$A$1:$G$1, 0))</f>
        <v>1</v>
      </c>
      <c r="L414" s="5">
        <f>INDEX(products!$A$1:$G$49, MATCH(orders!$D414, products!$A$1:$A$49, 0), MATCH(orders!L$1, products!$A$1:$G$1, 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 MATCH(orders!$D415, products!$A$1:$A$49, 0), MATCH(orders!I$1, products!$A$1:$G$1, 0))</f>
        <v>Lib</v>
      </c>
      <c r="J415" t="str">
        <f>INDEX(products!$A$1:$G$49, MATCH(orders!$D415, products!$A$1:$A$49, 0), MATCH(orders!J$1, products!$A$1:$G$1, 0))</f>
        <v>L</v>
      </c>
      <c r="K415" s="4">
        <f>INDEX(products!$A$1:$G$49, MATCH(orders!$D415, products!$A$1:$A$49, 0), MATCH(orders!K$1, products!$A$1:$G$1, 0))</f>
        <v>2.5</v>
      </c>
      <c r="L415" s="5">
        <f>INDEX(products!$A$1:$G$49, MATCH(orders!$D415, products!$A$1:$A$49, 0), MATCH(orders!L$1, products!$A$1:$G$1, 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 MATCH(orders!$D416, products!$A$1:$A$49, 0), MATCH(orders!I$1, products!$A$1:$G$1, 0))</f>
        <v>Rob</v>
      </c>
      <c r="J416" t="str">
        <f>INDEX(products!$A$1:$G$49, MATCH(orders!$D416, products!$A$1:$A$49, 0), MATCH(orders!J$1, products!$A$1:$G$1, 0))</f>
        <v>L</v>
      </c>
      <c r="K416" s="4">
        <f>INDEX(products!$A$1:$G$49, MATCH(orders!$D416, products!$A$1:$A$49, 0), MATCH(orders!K$1, products!$A$1:$G$1, 0))</f>
        <v>0.2</v>
      </c>
      <c r="L416" s="5">
        <f>INDEX(products!$A$1:$G$49, MATCH(orders!$D416, products!$A$1:$A$49, 0), MATCH(orders!L$1, products!$A$1:$G$1, 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 MATCH(orders!$D417, products!$A$1:$A$49, 0), MATCH(orders!I$1, products!$A$1:$G$1, 0))</f>
        <v>Rob</v>
      </c>
      <c r="J417" t="str">
        <f>INDEX(products!$A$1:$G$49, MATCH(orders!$D417, products!$A$1:$A$49, 0), MATCH(orders!J$1, products!$A$1:$G$1, 0))</f>
        <v>M</v>
      </c>
      <c r="K417" s="4">
        <f>INDEX(products!$A$1:$G$49, MATCH(orders!$D417, products!$A$1:$A$49, 0), MATCH(orders!K$1, products!$A$1:$G$1, 0))</f>
        <v>0.2</v>
      </c>
      <c r="L417" s="5">
        <f>INDEX(products!$A$1:$G$49, MATCH(orders!$D417, products!$A$1:$A$49, 0), MATCH(orders!L$1, products!$A$1:$G$1, 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 MATCH(orders!$D418, products!$A$1:$A$49, 0), MATCH(orders!I$1, products!$A$1:$G$1, 0))</f>
        <v>Ara</v>
      </c>
      <c r="J418" t="str">
        <f>INDEX(products!$A$1:$G$49, MATCH(orders!$D418, products!$A$1:$A$49, 0), MATCH(orders!J$1, products!$A$1:$G$1, 0))</f>
        <v>L</v>
      </c>
      <c r="K418" s="4">
        <f>INDEX(products!$A$1:$G$49, MATCH(orders!$D418, products!$A$1:$A$49, 0), MATCH(orders!K$1, products!$A$1:$G$1, 0))</f>
        <v>0.5</v>
      </c>
      <c r="L418" s="5">
        <f>INDEX(products!$A$1:$G$49, MATCH(orders!$D418, products!$A$1:$A$49, 0), MATCH(orders!L$1, products!$A$1:$G$1, 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 MATCH(orders!$D419, products!$A$1:$A$49, 0), MATCH(orders!I$1, products!$A$1:$G$1, 0))</f>
        <v>Ara</v>
      </c>
      <c r="J419" t="str">
        <f>INDEX(products!$A$1:$G$49, MATCH(orders!$D419, products!$A$1:$A$49, 0), MATCH(orders!J$1, products!$A$1:$G$1, 0))</f>
        <v>L</v>
      </c>
      <c r="K419" s="4">
        <f>INDEX(products!$A$1:$G$49, MATCH(orders!$D419, products!$A$1:$A$49, 0), MATCH(orders!K$1, products!$A$1:$G$1, 0))</f>
        <v>2.5</v>
      </c>
      <c r="L419" s="5">
        <f>INDEX(products!$A$1:$G$49, MATCH(orders!$D419, products!$A$1:$A$49, 0), MATCH(orders!L$1, products!$A$1:$G$1, 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 MATCH(orders!$D420, products!$A$1:$A$49, 0), MATCH(orders!I$1, products!$A$1:$G$1, 0))</f>
        <v>Ara</v>
      </c>
      <c r="J420" t="str">
        <f>INDEX(products!$A$1:$G$49, MATCH(orders!$D420, products!$A$1:$A$49, 0), MATCH(orders!J$1, products!$A$1:$G$1, 0))</f>
        <v>L</v>
      </c>
      <c r="K420" s="4">
        <f>INDEX(products!$A$1:$G$49, MATCH(orders!$D420, products!$A$1:$A$49, 0), MATCH(orders!K$1, products!$A$1:$G$1, 0))</f>
        <v>2.5</v>
      </c>
      <c r="L420" s="5">
        <f>INDEX(products!$A$1:$G$49, MATCH(orders!$D420, products!$A$1:$A$49, 0), MATCH(orders!L$1, products!$A$1:$G$1, 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 MATCH(orders!$D421, products!$A$1:$A$49, 0), MATCH(orders!I$1, products!$A$1:$G$1, 0))</f>
        <v>Lib</v>
      </c>
      <c r="J421" t="str">
        <f>INDEX(products!$A$1:$G$49, MATCH(orders!$D421, products!$A$1:$A$49, 0), MATCH(orders!J$1, products!$A$1:$G$1, 0))</f>
        <v>M</v>
      </c>
      <c r="K421" s="4">
        <f>INDEX(products!$A$1:$G$49, MATCH(orders!$D421, products!$A$1:$A$49, 0), MATCH(orders!K$1, products!$A$1:$G$1, 0))</f>
        <v>0.5</v>
      </c>
      <c r="L421" s="5">
        <f>INDEX(products!$A$1:$G$49, MATCH(orders!$D421, products!$A$1:$A$49, 0), MATCH(orders!L$1, products!$A$1:$G$1, 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 MATCH(orders!$D422, products!$A$1:$A$49, 0), MATCH(orders!I$1, products!$A$1:$G$1, 0))</f>
        <v>Lib</v>
      </c>
      <c r="J422" t="str">
        <f>INDEX(products!$A$1:$G$49, MATCH(orders!$D422, products!$A$1:$A$49, 0), MATCH(orders!J$1, products!$A$1:$G$1, 0))</f>
        <v>D</v>
      </c>
      <c r="K422" s="4">
        <f>INDEX(products!$A$1:$G$49, MATCH(orders!$D422, products!$A$1:$A$49, 0), MATCH(orders!K$1, products!$A$1:$G$1, 0))</f>
        <v>0.5</v>
      </c>
      <c r="L422" s="5">
        <f>INDEX(products!$A$1:$G$49, MATCH(orders!$D422, products!$A$1:$A$49, 0), MATCH(orders!L$1, products!$A$1:$G$1, 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 MATCH(orders!$D423, products!$A$1:$A$49, 0), MATCH(orders!I$1, products!$A$1:$G$1, 0))</f>
        <v>Ara</v>
      </c>
      <c r="J423" t="str">
        <f>INDEX(products!$A$1:$G$49, MATCH(orders!$D423, products!$A$1:$A$49, 0), MATCH(orders!J$1, products!$A$1:$G$1, 0))</f>
        <v>D</v>
      </c>
      <c r="K423" s="4">
        <f>INDEX(products!$A$1:$G$49, MATCH(orders!$D423, products!$A$1:$A$49, 0), MATCH(orders!K$1, products!$A$1:$G$1, 0))</f>
        <v>2.5</v>
      </c>
      <c r="L423" s="5">
        <f>INDEX(products!$A$1:$G$49, MATCH(orders!$D423, products!$A$1:$A$49, 0), MATCH(orders!L$1, products!$A$1:$G$1, 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 MATCH(orders!$D424, products!$A$1:$A$49, 0), MATCH(orders!I$1, products!$A$1:$G$1, 0))</f>
        <v>Ara</v>
      </c>
      <c r="J424" t="str">
        <f>INDEX(products!$A$1:$G$49, MATCH(orders!$D424, products!$A$1:$A$49, 0), MATCH(orders!J$1, products!$A$1:$G$1, 0))</f>
        <v>D</v>
      </c>
      <c r="K424" s="4">
        <f>INDEX(products!$A$1:$G$49, MATCH(orders!$D424, products!$A$1:$A$49, 0), MATCH(orders!K$1, products!$A$1:$G$1, 0))</f>
        <v>0.5</v>
      </c>
      <c r="L424" s="5">
        <f>INDEX(products!$A$1:$G$49, MATCH(orders!$D424, products!$A$1:$A$49, 0), MATCH(orders!L$1, products!$A$1:$G$1, 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 MATCH(orders!$D425, products!$A$1:$A$49, 0), MATCH(orders!I$1, products!$A$1:$G$1, 0))</f>
        <v>Rob</v>
      </c>
      <c r="J425" t="str">
        <f>INDEX(products!$A$1:$G$49, MATCH(orders!$D425, products!$A$1:$A$49, 0), MATCH(orders!J$1, products!$A$1:$G$1, 0))</f>
        <v>M</v>
      </c>
      <c r="K425" s="4">
        <f>INDEX(products!$A$1:$G$49, MATCH(orders!$D425, products!$A$1:$A$49, 0), MATCH(orders!K$1, products!$A$1:$G$1, 0))</f>
        <v>0.5</v>
      </c>
      <c r="L425" s="5">
        <f>INDEX(products!$A$1:$G$49, MATCH(orders!$D425, products!$A$1:$A$49, 0), MATCH(orders!L$1, products!$A$1:$G$1, 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 MATCH(orders!$D426, products!$A$1:$A$49, 0), MATCH(orders!I$1, products!$A$1:$G$1, 0))</f>
        <v>Exc</v>
      </c>
      <c r="J426" t="str">
        <f>INDEX(products!$A$1:$G$49, MATCH(orders!$D426, products!$A$1:$A$49, 0), MATCH(orders!J$1, products!$A$1:$G$1, 0))</f>
        <v>L</v>
      </c>
      <c r="K426" s="4">
        <f>INDEX(products!$A$1:$G$49, MATCH(orders!$D426, products!$A$1:$A$49, 0), MATCH(orders!K$1, products!$A$1:$G$1, 0))</f>
        <v>0.5</v>
      </c>
      <c r="L426" s="5">
        <f>INDEX(products!$A$1:$G$49, MATCH(orders!$D426, products!$A$1:$A$49, 0), MATCH(orders!L$1, products!$A$1:$G$1, 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 MATCH(orders!$D427, products!$A$1:$A$49, 0), MATCH(orders!I$1, products!$A$1:$G$1, 0))</f>
        <v>Rob</v>
      </c>
      <c r="J427" t="str">
        <f>INDEX(products!$A$1:$G$49, MATCH(orders!$D427, products!$A$1:$A$49, 0), MATCH(orders!J$1, products!$A$1:$G$1, 0))</f>
        <v>D</v>
      </c>
      <c r="K427" s="4">
        <f>INDEX(products!$A$1:$G$49, MATCH(orders!$D427, products!$A$1:$A$49, 0), MATCH(orders!K$1, products!$A$1:$G$1, 0))</f>
        <v>1</v>
      </c>
      <c r="L427" s="5">
        <f>INDEX(products!$A$1:$G$49, MATCH(orders!$D427, products!$A$1:$A$49, 0), MATCH(orders!L$1, products!$A$1:$G$1, 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 MATCH(orders!$D428, products!$A$1:$A$49, 0), MATCH(orders!I$1, products!$A$1:$G$1, 0))</f>
        <v>Rob</v>
      </c>
      <c r="J428" t="str">
        <f>INDEX(products!$A$1:$G$49, MATCH(orders!$D428, products!$A$1:$A$49, 0), MATCH(orders!J$1, products!$A$1:$G$1, 0))</f>
        <v>L</v>
      </c>
      <c r="K428" s="4">
        <f>INDEX(products!$A$1:$G$49, MATCH(orders!$D428, products!$A$1:$A$49, 0), MATCH(orders!K$1, products!$A$1:$G$1, 0))</f>
        <v>0.2</v>
      </c>
      <c r="L428" s="5">
        <f>INDEX(products!$A$1:$G$49, MATCH(orders!$D428, products!$A$1:$A$49, 0), MATCH(orders!L$1, products!$A$1:$G$1, 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 MATCH(orders!$D429, products!$A$1:$A$49, 0), MATCH(orders!I$1, products!$A$1:$G$1, 0))</f>
        <v>Ara</v>
      </c>
      <c r="J429" t="str">
        <f>INDEX(products!$A$1:$G$49, MATCH(orders!$D429, products!$A$1:$A$49, 0), MATCH(orders!J$1, products!$A$1:$G$1, 0))</f>
        <v>M</v>
      </c>
      <c r="K429" s="4">
        <f>INDEX(products!$A$1:$G$49, MATCH(orders!$D429, products!$A$1:$A$49, 0), MATCH(orders!K$1, products!$A$1:$G$1, 0))</f>
        <v>2.5</v>
      </c>
      <c r="L429" s="5">
        <f>INDEX(products!$A$1:$G$49, MATCH(orders!$D429, products!$A$1:$A$49, 0), MATCH(orders!L$1, products!$A$1:$G$1, 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 MATCH(orders!$D430, products!$A$1:$A$49, 0), MATCH(orders!I$1, products!$A$1:$G$1, 0))</f>
        <v>Rob</v>
      </c>
      <c r="J430" t="str">
        <f>INDEX(products!$A$1:$G$49, MATCH(orders!$D430, products!$A$1:$A$49, 0), MATCH(orders!J$1, products!$A$1:$G$1, 0))</f>
        <v>L</v>
      </c>
      <c r="K430" s="4">
        <f>INDEX(products!$A$1:$G$49, MATCH(orders!$D430, products!$A$1:$A$49, 0), MATCH(orders!K$1, products!$A$1:$G$1, 0))</f>
        <v>1</v>
      </c>
      <c r="L430" s="5">
        <f>INDEX(products!$A$1:$G$49, MATCH(orders!$D430, products!$A$1:$A$49, 0), MATCH(orders!L$1, products!$A$1:$G$1, 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 MATCH(orders!$D431, products!$A$1:$A$49, 0), MATCH(orders!I$1, products!$A$1:$G$1, 0))</f>
        <v>Ara</v>
      </c>
      <c r="J431" t="str">
        <f>INDEX(products!$A$1:$G$49, MATCH(orders!$D431, products!$A$1:$A$49, 0), MATCH(orders!J$1, products!$A$1:$G$1, 0))</f>
        <v>L</v>
      </c>
      <c r="K431" s="4">
        <f>INDEX(products!$A$1:$G$49, MATCH(orders!$D431, products!$A$1:$A$49, 0), MATCH(orders!K$1, products!$A$1:$G$1, 0))</f>
        <v>1</v>
      </c>
      <c r="L431" s="5">
        <f>INDEX(products!$A$1:$G$49, MATCH(orders!$D431, products!$A$1:$A$49, 0), MATCH(orders!L$1, products!$A$1:$G$1, 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 MATCH(orders!$D432, products!$A$1:$A$49, 0), MATCH(orders!I$1, products!$A$1:$G$1, 0))</f>
        <v>Rob</v>
      </c>
      <c r="J432" t="str">
        <f>INDEX(products!$A$1:$G$49, MATCH(orders!$D432, products!$A$1:$A$49, 0), MATCH(orders!J$1, products!$A$1:$G$1, 0))</f>
        <v>D</v>
      </c>
      <c r="K432" s="4">
        <f>INDEX(products!$A$1:$G$49, MATCH(orders!$D432, products!$A$1:$A$49, 0), MATCH(orders!K$1, products!$A$1:$G$1, 0))</f>
        <v>0.2</v>
      </c>
      <c r="L432" s="5">
        <f>INDEX(products!$A$1:$G$49, MATCH(orders!$D432, products!$A$1:$A$49, 0), MATCH(orders!L$1, products!$A$1:$G$1, 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 MATCH(orders!$D433, products!$A$1:$A$49, 0), MATCH(orders!I$1, products!$A$1:$G$1, 0))</f>
        <v>Exc</v>
      </c>
      <c r="J433" t="str">
        <f>INDEX(products!$A$1:$G$49, MATCH(orders!$D433, products!$A$1:$A$49, 0), MATCH(orders!J$1, products!$A$1:$G$1, 0))</f>
        <v>D</v>
      </c>
      <c r="K433" s="4">
        <f>INDEX(products!$A$1:$G$49, MATCH(orders!$D433, products!$A$1:$A$49, 0), MATCH(orders!K$1, products!$A$1:$G$1, 0))</f>
        <v>2.5</v>
      </c>
      <c r="L433" s="5">
        <f>INDEX(products!$A$1:$G$49, MATCH(orders!$D433, products!$A$1:$A$49, 0), MATCH(orders!L$1, products!$A$1:$G$1, 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 MATCH(orders!$D434, products!$A$1:$A$49, 0), MATCH(orders!I$1, products!$A$1:$G$1, 0))</f>
        <v>Ara</v>
      </c>
      <c r="J434" t="str">
        <f>INDEX(products!$A$1:$G$49, MATCH(orders!$D434, products!$A$1:$A$49, 0), MATCH(orders!J$1, products!$A$1:$G$1, 0))</f>
        <v>M</v>
      </c>
      <c r="K434" s="4">
        <f>INDEX(products!$A$1:$G$49, MATCH(orders!$D434, products!$A$1:$A$49, 0), MATCH(orders!K$1, products!$A$1:$G$1, 0))</f>
        <v>1</v>
      </c>
      <c r="L434" s="5">
        <f>INDEX(products!$A$1:$G$49, MATCH(orders!$D434, products!$A$1:$A$49, 0), MATCH(orders!L$1, products!$A$1:$G$1, 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 MATCH(orders!$D435, products!$A$1:$A$49, 0), MATCH(orders!I$1, products!$A$1:$G$1, 0))</f>
        <v>Lib</v>
      </c>
      <c r="J435" t="str">
        <f>INDEX(products!$A$1:$G$49, MATCH(orders!$D435, products!$A$1:$A$49, 0), MATCH(orders!J$1, products!$A$1:$G$1, 0))</f>
        <v>M</v>
      </c>
      <c r="K435" s="4">
        <f>INDEX(products!$A$1:$G$49, MATCH(orders!$D435, products!$A$1:$A$49, 0), MATCH(orders!K$1, products!$A$1:$G$1, 0))</f>
        <v>2.5</v>
      </c>
      <c r="L435" s="5">
        <f>INDEX(products!$A$1:$G$49, MATCH(orders!$D435, products!$A$1:$A$49, 0), MATCH(orders!L$1, products!$A$1:$G$1, 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 MATCH(orders!$D436, products!$A$1:$A$49, 0), MATCH(orders!I$1, products!$A$1:$G$1, 0))</f>
        <v>Ara</v>
      </c>
      <c r="J436" t="str">
        <f>INDEX(products!$A$1:$G$49, MATCH(orders!$D436, products!$A$1:$A$49, 0), MATCH(orders!J$1, products!$A$1:$G$1, 0))</f>
        <v>M</v>
      </c>
      <c r="K436" s="4">
        <f>INDEX(products!$A$1:$G$49, MATCH(orders!$D436, products!$A$1:$A$49, 0), MATCH(orders!K$1, products!$A$1:$G$1, 0))</f>
        <v>1</v>
      </c>
      <c r="L436" s="5">
        <f>INDEX(products!$A$1:$G$49, MATCH(orders!$D436, products!$A$1:$A$49, 0), MATCH(orders!L$1, products!$A$1:$G$1, 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 MATCH(orders!$D437, products!$A$1:$A$49, 0), MATCH(orders!I$1, products!$A$1:$G$1, 0))</f>
        <v>Exc</v>
      </c>
      <c r="J437" t="str">
        <f>INDEX(products!$A$1:$G$49, MATCH(orders!$D437, products!$A$1:$A$49, 0), MATCH(orders!J$1, products!$A$1:$G$1, 0))</f>
        <v>M</v>
      </c>
      <c r="K437" s="4">
        <f>INDEX(products!$A$1:$G$49, MATCH(orders!$D437, products!$A$1:$A$49, 0), MATCH(orders!K$1, products!$A$1:$G$1, 0))</f>
        <v>0.5</v>
      </c>
      <c r="L437" s="5">
        <f>INDEX(products!$A$1:$G$49, MATCH(orders!$D437, products!$A$1:$A$49, 0), MATCH(orders!L$1, products!$A$1:$G$1, 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 MATCH(orders!$D438, products!$A$1:$A$49, 0), MATCH(orders!I$1, products!$A$1:$G$1, 0))</f>
        <v>Lib</v>
      </c>
      <c r="J438" t="str">
        <f>INDEX(products!$A$1:$G$49, MATCH(orders!$D438, products!$A$1:$A$49, 0), MATCH(orders!J$1, products!$A$1:$G$1, 0))</f>
        <v>L</v>
      </c>
      <c r="K438" s="4">
        <f>INDEX(products!$A$1:$G$49, MATCH(orders!$D438, products!$A$1:$A$49, 0), MATCH(orders!K$1, products!$A$1:$G$1, 0))</f>
        <v>0.2</v>
      </c>
      <c r="L438" s="5">
        <f>INDEX(products!$A$1:$G$49, MATCH(orders!$D438, products!$A$1:$A$49, 0), MATCH(orders!L$1, products!$A$1:$G$1, 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 MATCH(orders!$D439, products!$A$1:$A$49, 0), MATCH(orders!I$1, products!$A$1:$G$1, 0))</f>
        <v>Lib</v>
      </c>
      <c r="J439" t="str">
        <f>INDEX(products!$A$1:$G$49, MATCH(orders!$D439, products!$A$1:$A$49, 0), MATCH(orders!J$1, products!$A$1:$G$1, 0))</f>
        <v>D</v>
      </c>
      <c r="K439" s="4">
        <f>INDEX(products!$A$1:$G$49, MATCH(orders!$D439, products!$A$1:$A$49, 0), MATCH(orders!K$1, products!$A$1:$G$1, 0))</f>
        <v>2.5</v>
      </c>
      <c r="L439" s="5">
        <f>INDEX(products!$A$1:$G$49, MATCH(orders!$D439, products!$A$1:$A$49, 0), MATCH(orders!L$1, products!$A$1:$G$1, 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 MATCH(orders!$D440, products!$A$1:$A$49, 0), MATCH(orders!I$1, products!$A$1:$G$1, 0))</f>
        <v>Lib</v>
      </c>
      <c r="J440" t="str">
        <f>INDEX(products!$A$1:$G$49, MATCH(orders!$D440, products!$A$1:$A$49, 0), MATCH(orders!J$1, products!$A$1:$G$1, 0))</f>
        <v>D</v>
      </c>
      <c r="K440" s="4">
        <f>INDEX(products!$A$1:$G$49, MATCH(orders!$D440, products!$A$1:$A$49, 0), MATCH(orders!K$1, products!$A$1:$G$1, 0))</f>
        <v>0.5</v>
      </c>
      <c r="L440" s="5">
        <f>INDEX(products!$A$1:$G$49, MATCH(orders!$D440, products!$A$1:$A$49, 0), MATCH(orders!L$1, products!$A$1:$G$1, 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 MATCH(orders!$D441, products!$A$1:$A$49, 0), MATCH(orders!I$1, products!$A$1:$G$1, 0))</f>
        <v>Exc</v>
      </c>
      <c r="J441" t="str">
        <f>INDEX(products!$A$1:$G$49, MATCH(orders!$D441, products!$A$1:$A$49, 0), MATCH(orders!J$1, products!$A$1:$G$1, 0))</f>
        <v>L</v>
      </c>
      <c r="K441" s="4">
        <f>INDEX(products!$A$1:$G$49, MATCH(orders!$D441, products!$A$1:$A$49, 0), MATCH(orders!K$1, products!$A$1:$G$1, 0))</f>
        <v>0.5</v>
      </c>
      <c r="L441" s="5">
        <f>INDEX(products!$A$1:$G$49, MATCH(orders!$D441, products!$A$1:$A$49, 0), MATCH(orders!L$1, products!$A$1:$G$1, 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 MATCH(orders!$D442, products!$A$1:$A$49, 0), MATCH(orders!I$1, products!$A$1:$G$1, 0))</f>
        <v>Ara</v>
      </c>
      <c r="J442" t="str">
        <f>INDEX(products!$A$1:$G$49, MATCH(orders!$D442, products!$A$1:$A$49, 0), MATCH(orders!J$1, products!$A$1:$G$1, 0))</f>
        <v>M</v>
      </c>
      <c r="K442" s="4">
        <f>INDEX(products!$A$1:$G$49, MATCH(orders!$D442, products!$A$1:$A$49, 0), MATCH(orders!K$1, products!$A$1:$G$1, 0))</f>
        <v>2.5</v>
      </c>
      <c r="L442" s="5">
        <f>INDEX(products!$A$1:$G$49, MATCH(orders!$D442, products!$A$1:$A$49, 0), MATCH(orders!L$1, products!$A$1:$G$1, 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 MATCH(orders!$D443, products!$A$1:$A$49, 0), MATCH(orders!I$1, products!$A$1:$G$1, 0))</f>
        <v>Exc</v>
      </c>
      <c r="J443" t="str">
        <f>INDEX(products!$A$1:$G$49, MATCH(orders!$D443, products!$A$1:$A$49, 0), MATCH(orders!J$1, products!$A$1:$G$1, 0))</f>
        <v>D</v>
      </c>
      <c r="K443" s="4">
        <f>INDEX(products!$A$1:$G$49, MATCH(orders!$D443, products!$A$1:$A$49, 0), MATCH(orders!K$1, products!$A$1:$G$1, 0))</f>
        <v>1</v>
      </c>
      <c r="L443" s="5">
        <f>INDEX(products!$A$1:$G$49, MATCH(orders!$D443, products!$A$1:$A$49, 0), MATCH(orders!L$1, products!$A$1:$G$1, 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 MATCH(orders!$D444, products!$A$1:$A$49, 0), MATCH(orders!I$1, products!$A$1:$G$1, 0))</f>
        <v>Rob</v>
      </c>
      <c r="J444" t="str">
        <f>INDEX(products!$A$1:$G$49, MATCH(orders!$D444, products!$A$1:$A$49, 0), MATCH(orders!J$1, products!$A$1:$G$1, 0))</f>
        <v>L</v>
      </c>
      <c r="K444" s="4">
        <f>INDEX(products!$A$1:$G$49, MATCH(orders!$D444, products!$A$1:$A$49, 0), MATCH(orders!K$1, products!$A$1:$G$1, 0))</f>
        <v>0.5</v>
      </c>
      <c r="L444" s="5">
        <f>INDEX(products!$A$1:$G$49, MATCH(orders!$D444, products!$A$1:$A$49, 0), MATCH(orders!L$1, products!$A$1:$G$1, 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 MATCH(orders!$D445, products!$A$1:$A$49, 0), MATCH(orders!I$1, products!$A$1:$G$1, 0))</f>
        <v>Exc</v>
      </c>
      <c r="J445" t="str">
        <f>INDEX(products!$A$1:$G$49, MATCH(orders!$D445, products!$A$1:$A$49, 0), MATCH(orders!J$1, products!$A$1:$G$1, 0))</f>
        <v>L</v>
      </c>
      <c r="K445" s="4">
        <f>INDEX(products!$A$1:$G$49, MATCH(orders!$D445, products!$A$1:$A$49, 0), MATCH(orders!K$1, products!$A$1:$G$1, 0))</f>
        <v>0.2</v>
      </c>
      <c r="L445" s="5">
        <f>INDEX(products!$A$1:$G$49, MATCH(orders!$D445, products!$A$1:$A$49, 0), MATCH(orders!L$1, products!$A$1:$G$1, 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 MATCH(orders!$D446, products!$A$1:$A$49, 0), MATCH(orders!I$1, products!$A$1:$G$1, 0))</f>
        <v>Exc</v>
      </c>
      <c r="J446" t="str">
        <f>INDEX(products!$A$1:$G$49, MATCH(orders!$D446, products!$A$1:$A$49, 0), MATCH(orders!J$1, products!$A$1:$G$1, 0))</f>
        <v>M</v>
      </c>
      <c r="K446" s="4">
        <f>INDEX(products!$A$1:$G$49, MATCH(orders!$D446, products!$A$1:$A$49, 0), MATCH(orders!K$1, products!$A$1:$G$1, 0))</f>
        <v>0.2</v>
      </c>
      <c r="L446" s="5">
        <f>INDEX(products!$A$1:$G$49, MATCH(orders!$D446, products!$A$1:$A$49, 0), MATCH(orders!L$1, products!$A$1:$G$1, 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 MATCH(orders!$D447, products!$A$1:$A$49, 0), MATCH(orders!I$1, products!$A$1:$G$1, 0))</f>
        <v>Lib</v>
      </c>
      <c r="J447" t="str">
        <f>INDEX(products!$A$1:$G$49, MATCH(orders!$D447, products!$A$1:$A$49, 0), MATCH(orders!J$1, products!$A$1:$G$1, 0))</f>
        <v>M</v>
      </c>
      <c r="K447" s="4">
        <f>INDEX(products!$A$1:$G$49, MATCH(orders!$D447, products!$A$1:$A$49, 0), MATCH(orders!K$1, products!$A$1:$G$1, 0))</f>
        <v>2.5</v>
      </c>
      <c r="L447" s="5">
        <f>INDEX(products!$A$1:$G$49, MATCH(orders!$D447, products!$A$1:$A$49, 0), MATCH(orders!L$1, products!$A$1:$G$1, 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 MATCH(orders!$D448, products!$A$1:$A$49, 0), MATCH(orders!I$1, products!$A$1:$G$1, 0))</f>
        <v>Lib</v>
      </c>
      <c r="J448" t="str">
        <f>INDEX(products!$A$1:$G$49, MATCH(orders!$D448, products!$A$1:$A$49, 0), MATCH(orders!J$1, products!$A$1:$G$1, 0))</f>
        <v>M</v>
      </c>
      <c r="K448" s="4">
        <f>INDEX(products!$A$1:$G$49, MATCH(orders!$D448, products!$A$1:$A$49, 0), MATCH(orders!K$1, products!$A$1:$G$1, 0))</f>
        <v>0.5</v>
      </c>
      <c r="L448" s="5">
        <f>INDEX(products!$A$1:$G$49, MATCH(orders!$D448, products!$A$1:$A$49, 0), MATCH(orders!L$1, products!$A$1:$G$1, 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 MATCH(orders!$D449, products!$A$1:$A$49, 0), MATCH(orders!I$1, products!$A$1:$G$1, 0))</f>
        <v>Rob</v>
      </c>
      <c r="J449" t="str">
        <f>INDEX(products!$A$1:$G$49, MATCH(orders!$D449, products!$A$1:$A$49, 0), MATCH(orders!J$1, products!$A$1:$G$1, 0))</f>
        <v>M</v>
      </c>
      <c r="K449" s="4">
        <f>INDEX(products!$A$1:$G$49, MATCH(orders!$D449, products!$A$1:$A$49, 0), MATCH(orders!K$1, products!$A$1:$G$1, 0))</f>
        <v>0.5</v>
      </c>
      <c r="L449" s="5">
        <f>INDEX(products!$A$1:$G$49, MATCH(orders!$D449, products!$A$1:$A$49, 0), MATCH(orders!L$1, products!$A$1:$G$1, 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 MATCH(orders!$D450, products!$A$1:$A$49, 0), MATCH(orders!I$1, products!$A$1:$G$1, 0))</f>
        <v>Rob</v>
      </c>
      <c r="J450" t="str">
        <f>INDEX(products!$A$1:$G$49, MATCH(orders!$D450, products!$A$1:$A$49, 0), MATCH(orders!J$1, products!$A$1:$G$1, 0))</f>
        <v>L</v>
      </c>
      <c r="K450" s="4">
        <f>INDEX(products!$A$1:$G$49, MATCH(orders!$D450, products!$A$1:$A$49, 0), MATCH(orders!K$1, products!$A$1:$G$1, 0))</f>
        <v>0.5</v>
      </c>
      <c r="L450" s="5">
        <f>INDEX(products!$A$1:$G$49, MATCH(orders!$D450, products!$A$1:$A$49, 0), MATCH(orders!L$1, products!$A$1:$G$1, 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 MATCH(orders!$D451, products!$A$1:$A$49, 0), MATCH(orders!I$1, products!$A$1:$G$1, 0))</f>
        <v>Rob</v>
      </c>
      <c r="J451" t="str">
        <f>INDEX(products!$A$1:$G$49, MATCH(orders!$D451, products!$A$1:$A$49, 0), MATCH(orders!J$1, products!$A$1:$G$1, 0))</f>
        <v>D</v>
      </c>
      <c r="K451" s="4">
        <f>INDEX(products!$A$1:$G$49, MATCH(orders!$D451, products!$A$1:$A$49, 0), MATCH(orders!K$1, products!$A$1:$G$1, 0))</f>
        <v>0.2</v>
      </c>
      <c r="L451" s="5">
        <f>INDEX(products!$A$1:$G$49, MATCH(orders!$D451, products!$A$1:$A$49, 0), MATCH(orders!L$1, products!$A$1:$G$1, 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 MATCH(orders!$D452, products!$A$1:$A$49, 0), MATCH(orders!I$1, products!$A$1:$G$1, 0))</f>
        <v>Lib</v>
      </c>
      <c r="J452" t="str">
        <f>INDEX(products!$A$1:$G$49, MATCH(orders!$D452, products!$A$1:$A$49, 0), MATCH(orders!J$1, products!$A$1:$G$1, 0))</f>
        <v>L</v>
      </c>
      <c r="K452" s="4">
        <f>INDEX(products!$A$1:$G$49, MATCH(orders!$D452, products!$A$1:$A$49, 0), MATCH(orders!K$1, products!$A$1:$G$1, 0))</f>
        <v>0.2</v>
      </c>
      <c r="L452" s="5">
        <f>INDEX(products!$A$1:$G$49, MATCH(orders!$D452, products!$A$1:$A$49, 0), MATCH(orders!L$1, products!$A$1:$G$1, 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 MATCH(orders!$D453, products!$A$1:$A$49, 0), MATCH(orders!I$1, products!$A$1:$G$1, 0))</f>
        <v>Rob</v>
      </c>
      <c r="J453" t="str">
        <f>INDEX(products!$A$1:$G$49, MATCH(orders!$D453, products!$A$1:$A$49, 0), MATCH(orders!J$1, products!$A$1:$G$1, 0))</f>
        <v>D</v>
      </c>
      <c r="K453" s="4">
        <f>INDEX(products!$A$1:$G$49, MATCH(orders!$D453, products!$A$1:$A$49, 0), MATCH(orders!K$1, products!$A$1:$G$1, 0))</f>
        <v>2.5</v>
      </c>
      <c r="L453" s="5">
        <f>INDEX(products!$A$1:$G$49, MATCH(orders!$D453, products!$A$1:$A$49, 0), MATCH(orders!L$1, products!$A$1:$G$1, 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 MATCH(orders!$D454, products!$A$1:$A$49, 0), MATCH(orders!I$1, products!$A$1:$G$1, 0))</f>
        <v>Ara</v>
      </c>
      <c r="J454" t="str">
        <f>INDEX(products!$A$1:$G$49, MATCH(orders!$D454, products!$A$1:$A$49, 0), MATCH(orders!J$1, products!$A$1:$G$1, 0))</f>
        <v>L</v>
      </c>
      <c r="K454" s="4">
        <f>INDEX(products!$A$1:$G$49, MATCH(orders!$D454, products!$A$1:$A$49, 0), MATCH(orders!K$1, products!$A$1:$G$1, 0))</f>
        <v>0.2</v>
      </c>
      <c r="L454" s="5">
        <f>INDEX(products!$A$1:$G$49, MATCH(orders!$D454, products!$A$1:$A$49, 0), MATCH(orders!L$1, products!$A$1:$G$1, 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 MATCH(orders!$D455, products!$A$1:$A$49, 0), MATCH(orders!I$1, products!$A$1:$G$1, 0))</f>
        <v>Lib</v>
      </c>
      <c r="J455" t="str">
        <f>INDEX(products!$A$1:$G$49, MATCH(orders!$D455, products!$A$1:$A$49, 0), MATCH(orders!J$1, products!$A$1:$G$1, 0))</f>
        <v>L</v>
      </c>
      <c r="K455" s="4">
        <f>INDEX(products!$A$1:$G$49, MATCH(orders!$D455, products!$A$1:$A$49, 0), MATCH(orders!K$1, products!$A$1:$G$1, 0))</f>
        <v>0.5</v>
      </c>
      <c r="L455" s="5">
        <f>INDEX(products!$A$1:$G$49, MATCH(orders!$D455, products!$A$1:$A$49, 0), MATCH(orders!L$1, products!$A$1:$G$1, 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 MATCH(orders!$D456, products!$A$1:$A$49, 0), MATCH(orders!I$1, products!$A$1:$G$1, 0))</f>
        <v>Rob</v>
      </c>
      <c r="J456" t="str">
        <f>INDEX(products!$A$1:$G$49, MATCH(orders!$D456, products!$A$1:$A$49, 0), MATCH(orders!J$1, products!$A$1:$G$1, 0))</f>
        <v>D</v>
      </c>
      <c r="K456" s="4">
        <f>INDEX(products!$A$1:$G$49, MATCH(orders!$D456, products!$A$1:$A$49, 0), MATCH(orders!K$1, products!$A$1:$G$1, 0))</f>
        <v>2.5</v>
      </c>
      <c r="L456" s="5">
        <f>INDEX(products!$A$1:$G$49, MATCH(orders!$D456, products!$A$1:$A$49, 0), MATCH(orders!L$1, products!$A$1:$G$1, 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 MATCH(orders!$D457, products!$A$1:$A$49, 0), MATCH(orders!I$1, products!$A$1:$G$1, 0))</f>
        <v>Lib</v>
      </c>
      <c r="J457" t="str">
        <f>INDEX(products!$A$1:$G$49, MATCH(orders!$D457, products!$A$1:$A$49, 0), MATCH(orders!J$1, products!$A$1:$G$1, 0))</f>
        <v>L</v>
      </c>
      <c r="K457" s="4">
        <f>INDEX(products!$A$1:$G$49, MATCH(orders!$D457, products!$A$1:$A$49, 0), MATCH(orders!K$1, products!$A$1:$G$1, 0))</f>
        <v>0.2</v>
      </c>
      <c r="L457" s="5">
        <f>INDEX(products!$A$1:$G$49, MATCH(orders!$D457, products!$A$1:$A$49, 0), MATCH(orders!L$1, products!$A$1:$G$1, 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 MATCH(orders!$D458, products!$A$1:$A$49, 0), MATCH(orders!I$1, products!$A$1:$G$1, 0))</f>
        <v>Rob</v>
      </c>
      <c r="J458" t="str">
        <f>INDEX(products!$A$1:$G$49, MATCH(orders!$D458, products!$A$1:$A$49, 0), MATCH(orders!J$1, products!$A$1:$G$1, 0))</f>
        <v>D</v>
      </c>
      <c r="K458" s="4">
        <f>INDEX(products!$A$1:$G$49, MATCH(orders!$D458, products!$A$1:$A$49, 0), MATCH(orders!K$1, products!$A$1:$G$1, 0))</f>
        <v>2.5</v>
      </c>
      <c r="L458" s="5">
        <f>INDEX(products!$A$1:$G$49, MATCH(orders!$D458, products!$A$1:$A$49, 0), MATCH(orders!L$1, products!$A$1:$G$1, 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 MATCH(orders!$D459, products!$A$1:$A$49, 0), MATCH(orders!I$1, products!$A$1:$G$1, 0))</f>
        <v>Lib</v>
      </c>
      <c r="J459" t="str">
        <f>INDEX(products!$A$1:$G$49, MATCH(orders!$D459, products!$A$1:$A$49, 0), MATCH(orders!J$1, products!$A$1:$G$1, 0))</f>
        <v>L</v>
      </c>
      <c r="K459" s="4">
        <f>INDEX(products!$A$1:$G$49, MATCH(orders!$D459, products!$A$1:$A$49, 0), MATCH(orders!K$1, products!$A$1:$G$1, 0))</f>
        <v>0.5</v>
      </c>
      <c r="L459" s="5">
        <f>INDEX(products!$A$1:$G$49, MATCH(orders!$D459, products!$A$1:$A$49, 0), MATCH(orders!L$1, products!$A$1:$G$1, 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 MATCH(orders!$D460, products!$A$1:$A$49, 0), MATCH(orders!I$1, products!$A$1:$G$1, 0))</f>
        <v>Ara</v>
      </c>
      <c r="J460" t="str">
        <f>INDEX(products!$A$1:$G$49, MATCH(orders!$D460, products!$A$1:$A$49, 0), MATCH(orders!J$1, products!$A$1:$G$1, 0))</f>
        <v>M</v>
      </c>
      <c r="K460" s="4">
        <f>INDEX(products!$A$1:$G$49, MATCH(orders!$D460, products!$A$1:$A$49, 0), MATCH(orders!K$1, products!$A$1:$G$1, 0))</f>
        <v>1</v>
      </c>
      <c r="L460" s="5">
        <f>INDEX(products!$A$1:$G$49, MATCH(orders!$D460, products!$A$1:$A$49, 0), MATCH(orders!L$1, products!$A$1:$G$1, 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 MATCH(orders!$D461, products!$A$1:$A$49, 0), MATCH(orders!I$1, products!$A$1:$G$1, 0))</f>
        <v>Lib</v>
      </c>
      <c r="J461" t="str">
        <f>INDEX(products!$A$1:$G$49, MATCH(orders!$D461, products!$A$1:$A$49, 0), MATCH(orders!J$1, products!$A$1:$G$1, 0))</f>
        <v>L</v>
      </c>
      <c r="K461" s="4">
        <f>INDEX(products!$A$1:$G$49, MATCH(orders!$D461, products!$A$1:$A$49, 0), MATCH(orders!K$1, products!$A$1:$G$1, 0))</f>
        <v>0.2</v>
      </c>
      <c r="L461" s="5">
        <f>INDEX(products!$A$1:$G$49, MATCH(orders!$D461, products!$A$1:$A$49, 0), MATCH(orders!L$1, products!$A$1:$G$1, 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 MATCH(orders!$D462, products!$A$1:$A$49, 0), MATCH(orders!I$1, products!$A$1:$G$1, 0))</f>
        <v>Rob</v>
      </c>
      <c r="J462" t="str">
        <f>INDEX(products!$A$1:$G$49, MATCH(orders!$D462, products!$A$1:$A$49, 0), MATCH(orders!J$1, products!$A$1:$G$1, 0))</f>
        <v>D</v>
      </c>
      <c r="K462" s="4">
        <f>INDEX(products!$A$1:$G$49, MATCH(orders!$D462, products!$A$1:$A$49, 0), MATCH(orders!K$1, products!$A$1:$G$1, 0))</f>
        <v>0.5</v>
      </c>
      <c r="L462" s="5">
        <f>INDEX(products!$A$1:$G$49, MATCH(orders!$D462, products!$A$1:$A$49, 0), MATCH(orders!L$1, products!$A$1:$G$1, 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 MATCH(orders!$D463, products!$A$1:$A$49, 0), MATCH(orders!I$1, products!$A$1:$G$1, 0))</f>
        <v>Rob</v>
      </c>
      <c r="J463" t="str">
        <f>INDEX(products!$A$1:$G$49, MATCH(orders!$D463, products!$A$1:$A$49, 0), MATCH(orders!J$1, products!$A$1:$G$1, 0))</f>
        <v>D</v>
      </c>
      <c r="K463" s="4">
        <f>INDEX(products!$A$1:$G$49, MATCH(orders!$D463, products!$A$1:$A$49, 0), MATCH(orders!K$1, products!$A$1:$G$1, 0))</f>
        <v>0.2</v>
      </c>
      <c r="L463" s="5">
        <f>INDEX(products!$A$1:$G$49, MATCH(orders!$D463, products!$A$1:$A$49, 0), MATCH(orders!L$1, products!$A$1:$G$1, 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 MATCH(orders!$D464, products!$A$1:$A$49, 0), MATCH(orders!I$1, products!$A$1:$G$1, 0))</f>
        <v>Ara</v>
      </c>
      <c r="J464" t="str">
        <f>INDEX(products!$A$1:$G$49, MATCH(orders!$D464, products!$A$1:$A$49, 0), MATCH(orders!J$1, products!$A$1:$G$1, 0))</f>
        <v>D</v>
      </c>
      <c r="K464" s="4">
        <f>INDEX(products!$A$1:$G$49, MATCH(orders!$D464, products!$A$1:$A$49, 0), MATCH(orders!K$1, products!$A$1:$G$1, 0))</f>
        <v>1</v>
      </c>
      <c r="L464" s="5">
        <f>INDEX(products!$A$1:$G$49, MATCH(orders!$D464, products!$A$1:$A$49, 0), MATCH(orders!L$1, products!$A$1:$G$1, 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 MATCH(orders!$D465, products!$A$1:$A$49, 0), MATCH(orders!I$1, products!$A$1:$G$1, 0))</f>
        <v>Exc</v>
      </c>
      <c r="J465" t="str">
        <f>INDEX(products!$A$1:$G$49, MATCH(orders!$D465, products!$A$1:$A$49, 0), MATCH(orders!J$1, products!$A$1:$G$1, 0))</f>
        <v>M</v>
      </c>
      <c r="K465" s="4">
        <f>INDEX(products!$A$1:$G$49, MATCH(orders!$D465, products!$A$1:$A$49, 0), MATCH(orders!K$1, products!$A$1:$G$1, 0))</f>
        <v>1</v>
      </c>
      <c r="L465" s="5">
        <f>INDEX(products!$A$1:$G$49, MATCH(orders!$D465, products!$A$1:$A$49, 0), MATCH(orders!L$1, products!$A$1:$G$1, 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 MATCH(orders!$D466, products!$A$1:$A$49, 0), MATCH(orders!I$1, products!$A$1:$G$1, 0))</f>
        <v>Lib</v>
      </c>
      <c r="J466" t="str">
        <f>INDEX(products!$A$1:$G$49, MATCH(orders!$D466, products!$A$1:$A$49, 0), MATCH(orders!J$1, products!$A$1:$G$1, 0))</f>
        <v>D</v>
      </c>
      <c r="K466" s="4">
        <f>INDEX(products!$A$1:$G$49, MATCH(orders!$D466, products!$A$1:$A$49, 0), MATCH(orders!K$1, products!$A$1:$G$1, 0))</f>
        <v>2.5</v>
      </c>
      <c r="L466" s="5">
        <f>INDEX(products!$A$1:$G$49, MATCH(orders!$D466, products!$A$1:$A$49, 0), MATCH(orders!L$1, products!$A$1:$G$1, 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 MATCH(orders!$D467, products!$A$1:$A$49, 0), MATCH(orders!I$1, products!$A$1:$G$1, 0))</f>
        <v>Rob</v>
      </c>
      <c r="J467" t="str">
        <f>INDEX(products!$A$1:$G$49, MATCH(orders!$D467, products!$A$1:$A$49, 0), MATCH(orders!J$1, products!$A$1:$G$1, 0))</f>
        <v>D</v>
      </c>
      <c r="K467" s="4">
        <f>INDEX(products!$A$1:$G$49, MATCH(orders!$D467, products!$A$1:$A$49, 0), MATCH(orders!K$1, products!$A$1:$G$1, 0))</f>
        <v>2.5</v>
      </c>
      <c r="L467" s="5">
        <f>INDEX(products!$A$1:$G$49, MATCH(orders!$D467, products!$A$1:$A$49, 0), MATCH(orders!L$1, products!$A$1:$G$1, 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 MATCH(orders!$D468, products!$A$1:$A$49, 0), MATCH(orders!I$1, products!$A$1:$G$1, 0))</f>
        <v>Ara</v>
      </c>
      <c r="J468" t="str">
        <f>INDEX(products!$A$1:$G$49, MATCH(orders!$D468, products!$A$1:$A$49, 0), MATCH(orders!J$1, products!$A$1:$G$1, 0))</f>
        <v>D</v>
      </c>
      <c r="K468" s="4">
        <f>INDEX(products!$A$1:$G$49, MATCH(orders!$D468, products!$A$1:$A$49, 0), MATCH(orders!K$1, products!$A$1:$G$1, 0))</f>
        <v>0.2</v>
      </c>
      <c r="L468" s="5">
        <f>INDEX(products!$A$1:$G$49, MATCH(orders!$D468, products!$A$1:$A$49, 0), MATCH(orders!L$1, products!$A$1:$G$1, 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 MATCH(orders!$D469, products!$A$1:$A$49, 0), MATCH(orders!I$1, products!$A$1:$G$1, 0))</f>
        <v>Ara</v>
      </c>
      <c r="J469" t="str">
        <f>INDEX(products!$A$1:$G$49, MATCH(orders!$D469, products!$A$1:$A$49, 0), MATCH(orders!J$1, products!$A$1:$G$1, 0))</f>
        <v>D</v>
      </c>
      <c r="K469" s="4">
        <f>INDEX(products!$A$1:$G$49, MATCH(orders!$D469, products!$A$1:$A$49, 0), MATCH(orders!K$1, products!$A$1:$G$1, 0))</f>
        <v>0.5</v>
      </c>
      <c r="L469" s="5">
        <f>INDEX(products!$A$1:$G$49, MATCH(orders!$D469, products!$A$1:$A$49, 0), MATCH(orders!L$1, products!$A$1:$G$1, 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 MATCH(orders!$D470, products!$A$1:$A$49, 0), MATCH(orders!I$1, products!$A$1:$G$1, 0))</f>
        <v>Exc</v>
      </c>
      <c r="J470" t="str">
        <f>INDEX(products!$A$1:$G$49, MATCH(orders!$D470, products!$A$1:$A$49, 0), MATCH(orders!J$1, products!$A$1:$G$1, 0))</f>
        <v>M</v>
      </c>
      <c r="K470" s="4">
        <f>INDEX(products!$A$1:$G$49, MATCH(orders!$D470, products!$A$1:$A$49, 0), MATCH(orders!K$1, products!$A$1:$G$1, 0))</f>
        <v>1</v>
      </c>
      <c r="L470" s="5">
        <f>INDEX(products!$A$1:$G$49, MATCH(orders!$D470, products!$A$1:$A$49, 0), MATCH(orders!L$1, products!$A$1:$G$1, 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 MATCH(orders!$D471, products!$A$1:$A$49, 0), MATCH(orders!I$1, products!$A$1:$G$1, 0))</f>
        <v>Exc</v>
      </c>
      <c r="J471" t="str">
        <f>INDEX(products!$A$1:$G$49, MATCH(orders!$D471, products!$A$1:$A$49, 0), MATCH(orders!J$1, products!$A$1:$G$1, 0))</f>
        <v>L</v>
      </c>
      <c r="K471" s="4">
        <f>INDEX(products!$A$1:$G$49, MATCH(orders!$D471, products!$A$1:$A$49, 0), MATCH(orders!K$1, products!$A$1:$G$1, 0))</f>
        <v>0.2</v>
      </c>
      <c r="L471" s="5">
        <f>INDEX(products!$A$1:$G$49, MATCH(orders!$D471, products!$A$1:$A$49, 0), MATCH(orders!L$1, products!$A$1:$G$1, 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 MATCH(orders!$D472, products!$A$1:$A$49, 0), MATCH(orders!I$1, products!$A$1:$G$1, 0))</f>
        <v>Ara</v>
      </c>
      <c r="J472" t="str">
        <f>INDEX(products!$A$1:$G$49, MATCH(orders!$D472, products!$A$1:$A$49, 0), MATCH(orders!J$1, products!$A$1:$G$1, 0))</f>
        <v>M</v>
      </c>
      <c r="K472" s="4">
        <f>INDEX(products!$A$1:$G$49, MATCH(orders!$D472, products!$A$1:$A$49, 0), MATCH(orders!K$1, products!$A$1:$G$1, 0))</f>
        <v>0.5</v>
      </c>
      <c r="L472" s="5">
        <f>INDEX(products!$A$1:$G$49, MATCH(orders!$D472, products!$A$1:$A$49, 0), MATCH(orders!L$1, products!$A$1:$G$1, 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 MATCH(orders!$D473, products!$A$1:$A$49, 0), MATCH(orders!I$1, products!$A$1:$G$1, 0))</f>
        <v>Lib</v>
      </c>
      <c r="J473" t="str">
        <f>INDEX(products!$A$1:$G$49, MATCH(orders!$D473, products!$A$1:$A$49, 0), MATCH(orders!J$1, products!$A$1:$G$1, 0))</f>
        <v>M</v>
      </c>
      <c r="K473" s="4">
        <f>INDEX(products!$A$1:$G$49, MATCH(orders!$D473, products!$A$1:$A$49, 0), MATCH(orders!K$1, products!$A$1:$G$1, 0))</f>
        <v>2.5</v>
      </c>
      <c r="L473" s="5">
        <f>INDEX(products!$A$1:$G$49, MATCH(orders!$D473, products!$A$1:$A$49, 0), MATCH(orders!L$1, products!$A$1:$G$1, 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 MATCH(orders!$D474, products!$A$1:$A$49, 0), MATCH(orders!I$1, products!$A$1:$G$1, 0))</f>
        <v>Ara</v>
      </c>
      <c r="J474" t="str">
        <f>INDEX(products!$A$1:$G$49, MATCH(orders!$D474, products!$A$1:$A$49, 0), MATCH(orders!J$1, products!$A$1:$G$1, 0))</f>
        <v>D</v>
      </c>
      <c r="K474" s="4">
        <f>INDEX(products!$A$1:$G$49, MATCH(orders!$D474, products!$A$1:$A$49, 0), MATCH(orders!K$1, products!$A$1:$G$1, 0))</f>
        <v>0.2</v>
      </c>
      <c r="L474" s="5">
        <f>INDEX(products!$A$1:$G$49, MATCH(orders!$D474, products!$A$1:$A$49, 0), MATCH(orders!L$1, products!$A$1:$G$1, 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 MATCH(orders!$D475, products!$A$1:$A$49, 0), MATCH(orders!I$1, products!$A$1:$G$1, 0))</f>
        <v>Ara</v>
      </c>
      <c r="J475" t="str">
        <f>INDEX(products!$A$1:$G$49, MATCH(orders!$D475, products!$A$1:$A$49, 0), MATCH(orders!J$1, products!$A$1:$G$1, 0))</f>
        <v>L</v>
      </c>
      <c r="K475" s="4">
        <f>INDEX(products!$A$1:$G$49, MATCH(orders!$D475, products!$A$1:$A$49, 0), MATCH(orders!K$1, products!$A$1:$G$1, 0))</f>
        <v>1</v>
      </c>
      <c r="L475" s="5">
        <f>INDEX(products!$A$1:$G$49, MATCH(orders!$D475, products!$A$1:$A$49, 0), MATCH(orders!L$1, products!$A$1:$G$1, 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 MATCH(orders!$D476, products!$A$1:$A$49, 0), MATCH(orders!I$1, products!$A$1:$G$1, 0))</f>
        <v>Exc</v>
      </c>
      <c r="J476" t="str">
        <f>INDEX(products!$A$1:$G$49, MATCH(orders!$D476, products!$A$1:$A$49, 0), MATCH(orders!J$1, products!$A$1:$G$1, 0))</f>
        <v>M</v>
      </c>
      <c r="K476" s="4">
        <f>INDEX(products!$A$1:$G$49, MATCH(orders!$D476, products!$A$1:$A$49, 0), MATCH(orders!K$1, products!$A$1:$G$1, 0))</f>
        <v>2.5</v>
      </c>
      <c r="L476" s="5">
        <f>INDEX(products!$A$1:$G$49, MATCH(orders!$D476, products!$A$1:$A$49, 0), MATCH(orders!L$1, products!$A$1:$G$1, 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 MATCH(orders!$D477, products!$A$1:$A$49, 0), MATCH(orders!I$1, products!$A$1:$G$1, 0))</f>
        <v>Lib</v>
      </c>
      <c r="J477" t="str">
        <f>INDEX(products!$A$1:$G$49, MATCH(orders!$D477, products!$A$1:$A$49, 0), MATCH(orders!J$1, products!$A$1:$G$1, 0))</f>
        <v>M</v>
      </c>
      <c r="K477" s="4">
        <f>INDEX(products!$A$1:$G$49, MATCH(orders!$D477, products!$A$1:$A$49, 0), MATCH(orders!K$1, products!$A$1:$G$1, 0))</f>
        <v>0.2</v>
      </c>
      <c r="L477" s="5">
        <f>INDEX(products!$A$1:$G$49, MATCH(orders!$D477, products!$A$1:$A$49, 0), MATCH(orders!L$1, products!$A$1:$G$1, 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 MATCH(orders!$D478, products!$A$1:$A$49, 0), MATCH(orders!I$1, products!$A$1:$G$1, 0))</f>
        <v>Exc</v>
      </c>
      <c r="J478" t="str">
        <f>INDEX(products!$A$1:$G$49, MATCH(orders!$D478, products!$A$1:$A$49, 0), MATCH(orders!J$1, products!$A$1:$G$1, 0))</f>
        <v>L</v>
      </c>
      <c r="K478" s="4">
        <f>INDEX(products!$A$1:$G$49, MATCH(orders!$D478, products!$A$1:$A$49, 0), MATCH(orders!K$1, products!$A$1:$G$1, 0))</f>
        <v>0.2</v>
      </c>
      <c r="L478" s="5">
        <f>INDEX(products!$A$1:$G$49, MATCH(orders!$D478, products!$A$1:$A$49, 0), MATCH(orders!L$1, products!$A$1:$G$1, 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 MATCH(orders!$D479, products!$A$1:$A$49, 0), MATCH(orders!I$1, products!$A$1:$G$1, 0))</f>
        <v>Lib</v>
      </c>
      <c r="J479" t="str">
        <f>INDEX(products!$A$1:$G$49, MATCH(orders!$D479, products!$A$1:$A$49, 0), MATCH(orders!J$1, products!$A$1:$G$1, 0))</f>
        <v>M</v>
      </c>
      <c r="K479" s="4">
        <f>INDEX(products!$A$1:$G$49, MATCH(orders!$D479, products!$A$1:$A$49, 0), MATCH(orders!K$1, products!$A$1:$G$1, 0))</f>
        <v>0.2</v>
      </c>
      <c r="L479" s="5">
        <f>INDEX(products!$A$1:$G$49, MATCH(orders!$D479, products!$A$1:$A$49, 0), MATCH(orders!L$1, products!$A$1:$G$1, 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 MATCH(orders!$D480, products!$A$1:$A$49, 0), MATCH(orders!I$1, products!$A$1:$G$1, 0))</f>
        <v>Rob</v>
      </c>
      <c r="J480" t="str">
        <f>INDEX(products!$A$1:$G$49, MATCH(orders!$D480, products!$A$1:$A$49, 0), MATCH(orders!J$1, products!$A$1:$G$1, 0))</f>
        <v>D</v>
      </c>
      <c r="K480" s="4">
        <f>INDEX(products!$A$1:$G$49, MATCH(orders!$D480, products!$A$1:$A$49, 0), MATCH(orders!K$1, products!$A$1:$G$1, 0))</f>
        <v>1</v>
      </c>
      <c r="L480" s="5">
        <f>INDEX(products!$A$1:$G$49, MATCH(orders!$D480, products!$A$1:$A$49, 0), MATCH(orders!L$1, products!$A$1:$G$1, 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 MATCH(orders!$D481, products!$A$1:$A$49, 0), MATCH(orders!I$1, products!$A$1:$G$1, 0))</f>
        <v>Exc</v>
      </c>
      <c r="J481" t="str">
        <f>INDEX(products!$A$1:$G$49, MATCH(orders!$D481, products!$A$1:$A$49, 0), MATCH(orders!J$1, products!$A$1:$G$1, 0))</f>
        <v>M</v>
      </c>
      <c r="K481" s="4">
        <f>INDEX(products!$A$1:$G$49, MATCH(orders!$D481, products!$A$1:$A$49, 0), MATCH(orders!K$1, products!$A$1:$G$1, 0))</f>
        <v>2.5</v>
      </c>
      <c r="L481" s="5">
        <f>INDEX(products!$A$1:$G$49, MATCH(orders!$D481, products!$A$1:$A$49, 0), MATCH(orders!L$1, products!$A$1:$G$1, 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 MATCH(orders!$D482, products!$A$1:$A$49, 0), MATCH(orders!I$1, products!$A$1:$G$1, 0))</f>
        <v>Exc</v>
      </c>
      <c r="J482" t="str">
        <f>INDEX(products!$A$1:$G$49, MATCH(orders!$D482, products!$A$1:$A$49, 0), MATCH(orders!J$1, products!$A$1:$G$1, 0))</f>
        <v>M</v>
      </c>
      <c r="K482" s="4">
        <f>INDEX(products!$A$1:$G$49, MATCH(orders!$D482, products!$A$1:$A$49, 0), MATCH(orders!K$1, products!$A$1:$G$1, 0))</f>
        <v>0.2</v>
      </c>
      <c r="L482" s="5">
        <f>INDEX(products!$A$1:$G$49, MATCH(orders!$D482, products!$A$1:$A$49, 0), MATCH(orders!L$1, products!$A$1:$G$1, 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 MATCH(orders!$D483, products!$A$1:$A$49, 0), MATCH(orders!I$1, products!$A$1:$G$1, 0))</f>
        <v>Rob</v>
      </c>
      <c r="J483" t="str">
        <f>INDEX(products!$A$1:$G$49, MATCH(orders!$D483, products!$A$1:$A$49, 0), MATCH(orders!J$1, products!$A$1:$G$1, 0))</f>
        <v>L</v>
      </c>
      <c r="K483" s="4">
        <f>INDEX(products!$A$1:$G$49, MATCH(orders!$D483, products!$A$1:$A$49, 0), MATCH(orders!K$1, products!$A$1:$G$1, 0))</f>
        <v>1</v>
      </c>
      <c r="L483" s="5">
        <f>INDEX(products!$A$1:$G$49, MATCH(orders!$D483, products!$A$1:$A$49, 0), MATCH(orders!L$1, products!$A$1:$G$1, 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 MATCH(orders!$D484, products!$A$1:$A$49, 0), MATCH(orders!I$1, products!$A$1:$G$1, 0))</f>
        <v>Exc</v>
      </c>
      <c r="J484" t="str">
        <f>INDEX(products!$A$1:$G$49, MATCH(orders!$D484, products!$A$1:$A$49, 0), MATCH(orders!J$1, products!$A$1:$G$1, 0))</f>
        <v>D</v>
      </c>
      <c r="K484" s="4">
        <f>INDEX(products!$A$1:$G$49, MATCH(orders!$D484, products!$A$1:$A$49, 0), MATCH(orders!K$1, products!$A$1:$G$1, 0))</f>
        <v>2.5</v>
      </c>
      <c r="L484" s="5">
        <f>INDEX(products!$A$1:$G$49, MATCH(orders!$D484, products!$A$1:$A$49, 0), MATCH(orders!L$1, products!$A$1:$G$1, 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 MATCH(orders!$D485, products!$A$1:$A$49, 0), MATCH(orders!I$1, products!$A$1:$G$1, 0))</f>
        <v>Lib</v>
      </c>
      <c r="J485" t="str">
        <f>INDEX(products!$A$1:$G$49, MATCH(orders!$D485, products!$A$1:$A$49, 0), MATCH(orders!J$1, products!$A$1:$G$1, 0))</f>
        <v>D</v>
      </c>
      <c r="K485" s="4">
        <f>INDEX(products!$A$1:$G$49, MATCH(orders!$D485, products!$A$1:$A$49, 0), MATCH(orders!K$1, products!$A$1:$G$1, 0))</f>
        <v>2.5</v>
      </c>
      <c r="L485" s="5">
        <f>INDEX(products!$A$1:$G$49, MATCH(orders!$D485, products!$A$1:$A$49, 0), MATCH(orders!L$1, products!$A$1:$G$1, 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 MATCH(orders!$D486, products!$A$1:$A$49, 0), MATCH(orders!I$1, products!$A$1:$G$1, 0))</f>
        <v>Lib</v>
      </c>
      <c r="J486" t="str">
        <f>INDEX(products!$A$1:$G$49, MATCH(orders!$D486, products!$A$1:$A$49, 0), MATCH(orders!J$1, products!$A$1:$G$1, 0))</f>
        <v>L</v>
      </c>
      <c r="K486" s="4">
        <f>INDEX(products!$A$1:$G$49, MATCH(orders!$D486, products!$A$1:$A$49, 0), MATCH(orders!K$1, products!$A$1:$G$1, 0))</f>
        <v>0.5</v>
      </c>
      <c r="L486" s="5">
        <f>INDEX(products!$A$1:$G$49, MATCH(orders!$D486, products!$A$1:$A$49, 0), MATCH(orders!L$1, products!$A$1:$G$1, 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 MATCH(orders!$D487, products!$A$1:$A$49, 0), MATCH(orders!I$1, products!$A$1:$G$1, 0))</f>
        <v>Rob</v>
      </c>
      <c r="J487" t="str">
        <f>INDEX(products!$A$1:$G$49, MATCH(orders!$D487, products!$A$1:$A$49, 0), MATCH(orders!J$1, products!$A$1:$G$1, 0))</f>
        <v>L</v>
      </c>
      <c r="K487" s="4">
        <f>INDEX(products!$A$1:$G$49, MATCH(orders!$D487, products!$A$1:$A$49, 0), MATCH(orders!K$1, products!$A$1:$G$1, 0))</f>
        <v>0.2</v>
      </c>
      <c r="L487" s="5">
        <f>INDEX(products!$A$1:$G$49, MATCH(orders!$D487, products!$A$1:$A$49, 0), MATCH(orders!L$1, products!$A$1:$G$1, 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 MATCH(orders!$D488, products!$A$1:$A$49, 0), MATCH(orders!I$1, products!$A$1:$G$1, 0))</f>
        <v>Lib</v>
      </c>
      <c r="J488" t="str">
        <f>INDEX(products!$A$1:$G$49, MATCH(orders!$D488, products!$A$1:$A$49, 0), MATCH(orders!J$1, products!$A$1:$G$1, 0))</f>
        <v>M</v>
      </c>
      <c r="K488" s="4">
        <f>INDEX(products!$A$1:$G$49, MATCH(orders!$D488, products!$A$1:$A$49, 0), MATCH(orders!K$1, products!$A$1:$G$1, 0))</f>
        <v>0.5</v>
      </c>
      <c r="L488" s="5">
        <f>INDEX(products!$A$1:$G$49, MATCH(orders!$D488, products!$A$1:$A$49, 0), MATCH(orders!L$1, products!$A$1:$G$1, 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 MATCH(orders!$D489, products!$A$1:$A$49, 0), MATCH(orders!I$1, products!$A$1:$G$1, 0))</f>
        <v>Exc</v>
      </c>
      <c r="J489" t="str">
        <f>INDEX(products!$A$1:$G$49, MATCH(orders!$D489, products!$A$1:$A$49, 0), MATCH(orders!J$1, products!$A$1:$G$1, 0))</f>
        <v>D</v>
      </c>
      <c r="K489" s="4">
        <f>INDEX(products!$A$1:$G$49, MATCH(orders!$D489, products!$A$1:$A$49, 0), MATCH(orders!K$1, products!$A$1:$G$1, 0))</f>
        <v>1</v>
      </c>
      <c r="L489" s="5">
        <f>INDEX(products!$A$1:$G$49, MATCH(orders!$D489, products!$A$1:$A$49, 0), MATCH(orders!L$1, products!$A$1:$G$1, 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 MATCH(orders!$D490, products!$A$1:$A$49, 0), MATCH(orders!I$1, products!$A$1:$G$1, 0))</f>
        <v>Rob</v>
      </c>
      <c r="J490" t="str">
        <f>INDEX(products!$A$1:$G$49, MATCH(orders!$D490, products!$A$1:$A$49, 0), MATCH(orders!J$1, products!$A$1:$G$1, 0))</f>
        <v>M</v>
      </c>
      <c r="K490" s="4">
        <f>INDEX(products!$A$1:$G$49, MATCH(orders!$D490, products!$A$1:$A$49, 0), MATCH(orders!K$1, products!$A$1:$G$1, 0))</f>
        <v>0.2</v>
      </c>
      <c r="L490" s="5">
        <f>INDEX(products!$A$1:$G$49, MATCH(orders!$D490, products!$A$1:$A$49, 0), MATCH(orders!L$1, products!$A$1:$G$1, 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 MATCH(orders!$D491, products!$A$1:$A$49, 0), MATCH(orders!I$1, products!$A$1:$G$1, 0))</f>
        <v>Lib</v>
      </c>
      <c r="J491" t="str">
        <f>INDEX(products!$A$1:$G$49, MATCH(orders!$D491, products!$A$1:$A$49, 0), MATCH(orders!J$1, products!$A$1:$G$1, 0))</f>
        <v>L</v>
      </c>
      <c r="K491" s="4">
        <f>INDEX(products!$A$1:$G$49, MATCH(orders!$D491, products!$A$1:$A$49, 0), MATCH(orders!K$1, products!$A$1:$G$1, 0))</f>
        <v>1</v>
      </c>
      <c r="L491" s="5">
        <f>INDEX(products!$A$1:$G$49, MATCH(orders!$D491, products!$A$1:$A$49, 0), MATCH(orders!L$1, products!$A$1:$G$1, 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 MATCH(orders!$D492, products!$A$1:$A$49, 0), MATCH(orders!I$1, products!$A$1:$G$1, 0))</f>
        <v>Lib</v>
      </c>
      <c r="J492" t="str">
        <f>INDEX(products!$A$1:$G$49, MATCH(orders!$D492, products!$A$1:$A$49, 0), MATCH(orders!J$1, products!$A$1:$G$1, 0))</f>
        <v>D</v>
      </c>
      <c r="K492" s="4">
        <f>INDEX(products!$A$1:$G$49, MATCH(orders!$D492, products!$A$1:$A$49, 0), MATCH(orders!K$1, products!$A$1:$G$1, 0))</f>
        <v>0.5</v>
      </c>
      <c r="L492" s="5">
        <f>INDEX(products!$A$1:$G$49, MATCH(orders!$D492, products!$A$1:$A$49, 0), MATCH(orders!L$1, products!$A$1:$G$1, 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 MATCH(orders!$D493, products!$A$1:$A$49, 0), MATCH(orders!I$1, products!$A$1:$G$1, 0))</f>
        <v>Lib</v>
      </c>
      <c r="J493" t="str">
        <f>INDEX(products!$A$1:$G$49, MATCH(orders!$D493, products!$A$1:$A$49, 0), MATCH(orders!J$1, products!$A$1:$G$1, 0))</f>
        <v>D</v>
      </c>
      <c r="K493" s="4">
        <f>INDEX(products!$A$1:$G$49, MATCH(orders!$D493, products!$A$1:$A$49, 0), MATCH(orders!K$1, products!$A$1:$G$1, 0))</f>
        <v>0.2</v>
      </c>
      <c r="L493" s="5">
        <f>INDEX(products!$A$1:$G$49, MATCH(orders!$D493, products!$A$1:$A$49, 0), MATCH(orders!L$1, products!$A$1:$G$1, 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 MATCH(orders!$D494, products!$A$1:$A$49, 0), MATCH(orders!I$1, products!$A$1:$G$1, 0))</f>
        <v>Exc</v>
      </c>
      <c r="J494" t="str">
        <f>INDEX(products!$A$1:$G$49, MATCH(orders!$D494, products!$A$1:$A$49, 0), MATCH(orders!J$1, products!$A$1:$G$1, 0))</f>
        <v>M</v>
      </c>
      <c r="K494" s="4">
        <f>INDEX(products!$A$1:$G$49, MATCH(orders!$D494, products!$A$1:$A$49, 0), MATCH(orders!K$1, products!$A$1:$G$1, 0))</f>
        <v>0.2</v>
      </c>
      <c r="L494" s="5">
        <f>INDEX(products!$A$1:$G$49, MATCH(orders!$D494, products!$A$1:$A$49, 0), MATCH(orders!L$1, products!$A$1:$G$1, 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 MATCH(orders!$D495, products!$A$1:$A$49, 0), MATCH(orders!I$1, products!$A$1:$G$1, 0))</f>
        <v>Rob</v>
      </c>
      <c r="J495" t="str">
        <f>INDEX(products!$A$1:$G$49, MATCH(orders!$D495, products!$A$1:$A$49, 0), MATCH(orders!J$1, products!$A$1:$G$1, 0))</f>
        <v>M</v>
      </c>
      <c r="K495" s="4">
        <f>INDEX(products!$A$1:$G$49, MATCH(orders!$D495, products!$A$1:$A$49, 0), MATCH(orders!K$1, products!$A$1:$G$1, 0))</f>
        <v>0.5</v>
      </c>
      <c r="L495" s="5">
        <f>INDEX(products!$A$1:$G$49, MATCH(orders!$D495, products!$A$1:$A$49, 0), MATCH(orders!L$1, products!$A$1:$G$1, 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 MATCH(orders!$D496, products!$A$1:$A$49, 0), MATCH(orders!I$1, products!$A$1:$G$1, 0))</f>
        <v>Lib</v>
      </c>
      <c r="J496" t="str">
        <f>INDEX(products!$A$1:$G$49, MATCH(orders!$D496, products!$A$1:$A$49, 0), MATCH(orders!J$1, products!$A$1:$G$1, 0))</f>
        <v>L</v>
      </c>
      <c r="K496" s="4">
        <f>INDEX(products!$A$1:$G$49, MATCH(orders!$D496, products!$A$1:$A$49, 0), MATCH(orders!K$1, products!$A$1:$G$1, 0))</f>
        <v>1</v>
      </c>
      <c r="L496" s="5">
        <f>INDEX(products!$A$1:$G$49, MATCH(orders!$D496, products!$A$1:$A$49, 0), MATCH(orders!L$1, products!$A$1:$G$1, 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 MATCH(orders!$D497, products!$A$1:$A$49, 0), MATCH(orders!I$1, products!$A$1:$G$1, 0))</f>
        <v>Lib</v>
      </c>
      <c r="J497" t="str">
        <f>INDEX(products!$A$1:$G$49, MATCH(orders!$D497, products!$A$1:$A$49, 0), MATCH(orders!J$1, products!$A$1:$G$1, 0))</f>
        <v>L</v>
      </c>
      <c r="K497" s="4">
        <f>INDEX(products!$A$1:$G$49, MATCH(orders!$D497, products!$A$1:$A$49, 0), MATCH(orders!K$1, products!$A$1:$G$1, 0))</f>
        <v>1</v>
      </c>
      <c r="L497" s="5">
        <f>INDEX(products!$A$1:$G$49, MATCH(orders!$D497, products!$A$1:$A$49, 0), MATCH(orders!L$1, products!$A$1:$G$1, 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 MATCH(orders!$D498, products!$A$1:$A$49, 0), MATCH(orders!I$1, products!$A$1:$G$1, 0))</f>
        <v>Exc</v>
      </c>
      <c r="J498" t="str">
        <f>INDEX(products!$A$1:$G$49, MATCH(orders!$D498, products!$A$1:$A$49, 0), MATCH(orders!J$1, products!$A$1:$G$1, 0))</f>
        <v>D</v>
      </c>
      <c r="K498" s="4">
        <f>INDEX(products!$A$1:$G$49, MATCH(orders!$D498, products!$A$1:$A$49, 0), MATCH(orders!K$1, products!$A$1:$G$1, 0))</f>
        <v>0.2</v>
      </c>
      <c r="L498" s="5">
        <f>INDEX(products!$A$1:$G$49, MATCH(orders!$D498, products!$A$1:$A$49, 0), MATCH(orders!L$1, products!$A$1:$G$1, 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 MATCH(orders!$D499, products!$A$1:$A$49, 0), MATCH(orders!I$1, products!$A$1:$G$1, 0))</f>
        <v>Ara</v>
      </c>
      <c r="J499" t="str">
        <f>INDEX(products!$A$1:$G$49, MATCH(orders!$D499, products!$A$1:$A$49, 0), MATCH(orders!J$1, products!$A$1:$G$1, 0))</f>
        <v>D</v>
      </c>
      <c r="K499" s="4">
        <f>INDEX(products!$A$1:$G$49, MATCH(orders!$D499, products!$A$1:$A$49, 0), MATCH(orders!K$1, products!$A$1:$G$1, 0))</f>
        <v>1</v>
      </c>
      <c r="L499" s="5">
        <f>INDEX(products!$A$1:$G$49, MATCH(orders!$D499, products!$A$1:$A$49, 0), MATCH(orders!L$1, products!$A$1:$G$1, 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 MATCH(orders!$D500, products!$A$1:$A$49, 0), MATCH(orders!I$1, products!$A$1:$G$1, 0))</f>
        <v>Rob</v>
      </c>
      <c r="J500" t="str">
        <f>INDEX(products!$A$1:$G$49, MATCH(orders!$D500, products!$A$1:$A$49, 0), MATCH(orders!J$1, products!$A$1:$G$1, 0))</f>
        <v>M</v>
      </c>
      <c r="K500" s="4">
        <f>INDEX(products!$A$1:$G$49, MATCH(orders!$D500, products!$A$1:$A$49, 0), MATCH(orders!K$1, products!$A$1:$G$1, 0))</f>
        <v>1</v>
      </c>
      <c r="L500" s="5">
        <f>INDEX(products!$A$1:$G$49, MATCH(orders!$D500, products!$A$1:$A$49, 0), MATCH(orders!L$1, products!$A$1:$G$1, 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 MATCH(orders!$D501, products!$A$1:$A$49, 0), MATCH(orders!I$1, products!$A$1:$G$1, 0))</f>
        <v>Rob</v>
      </c>
      <c r="J501" t="str">
        <f>INDEX(products!$A$1:$G$49, MATCH(orders!$D501, products!$A$1:$A$49, 0), MATCH(orders!J$1, products!$A$1:$G$1, 0))</f>
        <v>D</v>
      </c>
      <c r="K501" s="4">
        <f>INDEX(products!$A$1:$G$49, MATCH(orders!$D501, products!$A$1:$A$49, 0), MATCH(orders!K$1, products!$A$1:$G$1, 0))</f>
        <v>0.2</v>
      </c>
      <c r="L501" s="5">
        <f>INDEX(products!$A$1:$G$49, MATCH(orders!$D501, products!$A$1:$A$49, 0), MATCH(orders!L$1, products!$A$1:$G$1, 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 MATCH(orders!$D502, products!$A$1:$A$49, 0), MATCH(orders!I$1, products!$A$1:$G$1, 0))</f>
        <v>Rob</v>
      </c>
      <c r="J502" t="str">
        <f>INDEX(products!$A$1:$G$49, MATCH(orders!$D502, products!$A$1:$A$49, 0), MATCH(orders!J$1, products!$A$1:$G$1, 0))</f>
        <v>L</v>
      </c>
      <c r="K502" s="4">
        <f>INDEX(products!$A$1:$G$49, MATCH(orders!$D502, products!$A$1:$A$49, 0), MATCH(orders!K$1, products!$A$1:$G$1, 0))</f>
        <v>1</v>
      </c>
      <c r="L502" s="5">
        <f>INDEX(products!$A$1:$G$49, MATCH(orders!$D502, products!$A$1:$A$49, 0), MATCH(orders!L$1, products!$A$1:$G$1, 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 MATCH(orders!$D503, products!$A$1:$A$49, 0), MATCH(orders!I$1, products!$A$1:$G$1, 0))</f>
        <v>Rob</v>
      </c>
      <c r="J503" t="str">
        <f>INDEX(products!$A$1:$G$49, MATCH(orders!$D503, products!$A$1:$A$49, 0), MATCH(orders!J$1, products!$A$1:$G$1, 0))</f>
        <v>M</v>
      </c>
      <c r="K503" s="4">
        <f>INDEX(products!$A$1:$G$49, MATCH(orders!$D503, products!$A$1:$A$49, 0), MATCH(orders!K$1, products!$A$1:$G$1, 0))</f>
        <v>0.2</v>
      </c>
      <c r="L503" s="5">
        <f>INDEX(products!$A$1:$G$49, MATCH(orders!$D503, products!$A$1:$A$49, 0), MATCH(orders!L$1, products!$A$1:$G$1, 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 MATCH(orders!$D504, products!$A$1:$A$49, 0), MATCH(orders!I$1, products!$A$1:$G$1, 0))</f>
        <v>Exc</v>
      </c>
      <c r="J504" t="str">
        <f>INDEX(products!$A$1:$G$49, MATCH(orders!$D504, products!$A$1:$A$49, 0), MATCH(orders!J$1, products!$A$1:$G$1, 0))</f>
        <v>M</v>
      </c>
      <c r="K504" s="4">
        <f>INDEX(products!$A$1:$G$49, MATCH(orders!$D504, products!$A$1:$A$49, 0), MATCH(orders!K$1, products!$A$1:$G$1, 0))</f>
        <v>0.2</v>
      </c>
      <c r="L504" s="5">
        <f>INDEX(products!$A$1:$G$49, MATCH(orders!$D504, products!$A$1:$A$49, 0), MATCH(orders!L$1, products!$A$1:$G$1, 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 MATCH(orders!$D505, products!$A$1:$A$49, 0), MATCH(orders!I$1, products!$A$1:$G$1, 0))</f>
        <v>Lib</v>
      </c>
      <c r="J505" t="str">
        <f>INDEX(products!$A$1:$G$49, MATCH(orders!$D505, products!$A$1:$A$49, 0), MATCH(orders!J$1, products!$A$1:$G$1, 0))</f>
        <v>D</v>
      </c>
      <c r="K505" s="4">
        <f>INDEX(products!$A$1:$G$49, MATCH(orders!$D505, products!$A$1:$A$49, 0), MATCH(orders!K$1, products!$A$1:$G$1, 0))</f>
        <v>1</v>
      </c>
      <c r="L505" s="5">
        <f>INDEX(products!$A$1:$G$49, MATCH(orders!$D505, products!$A$1:$A$49, 0), MATCH(orders!L$1, products!$A$1:$G$1, 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 MATCH(orders!$D506, products!$A$1:$A$49, 0), MATCH(orders!I$1, products!$A$1:$G$1, 0))</f>
        <v>Lib</v>
      </c>
      <c r="J506" t="str">
        <f>INDEX(products!$A$1:$G$49, MATCH(orders!$D506, products!$A$1:$A$49, 0), MATCH(orders!J$1, products!$A$1:$G$1, 0))</f>
        <v>L</v>
      </c>
      <c r="K506" s="4">
        <f>INDEX(products!$A$1:$G$49, MATCH(orders!$D506, products!$A$1:$A$49, 0), MATCH(orders!K$1, products!$A$1:$G$1, 0))</f>
        <v>0.2</v>
      </c>
      <c r="L506" s="5">
        <f>INDEX(products!$A$1:$G$49, MATCH(orders!$D506, products!$A$1:$A$49, 0), MATCH(orders!L$1, products!$A$1:$G$1, 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 MATCH(orders!$D507, products!$A$1:$A$49, 0), MATCH(orders!I$1, products!$A$1:$G$1, 0))</f>
        <v>Lib</v>
      </c>
      <c r="J507" t="str">
        <f>INDEX(products!$A$1:$G$49, MATCH(orders!$D507, products!$A$1:$A$49, 0), MATCH(orders!J$1, products!$A$1:$G$1, 0))</f>
        <v>M</v>
      </c>
      <c r="K507" s="4">
        <f>INDEX(products!$A$1:$G$49, MATCH(orders!$D507, products!$A$1:$A$49, 0), MATCH(orders!K$1, products!$A$1:$G$1, 0))</f>
        <v>0.2</v>
      </c>
      <c r="L507" s="5">
        <f>INDEX(products!$A$1:$G$49, MATCH(orders!$D507, products!$A$1:$A$49, 0), MATCH(orders!L$1, products!$A$1:$G$1, 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 MATCH(orders!$D508, products!$A$1:$A$49, 0), MATCH(orders!I$1, products!$A$1:$G$1, 0))</f>
        <v>Ara</v>
      </c>
      <c r="J508" t="str">
        <f>INDEX(products!$A$1:$G$49, MATCH(orders!$D508, products!$A$1:$A$49, 0), MATCH(orders!J$1, products!$A$1:$G$1, 0))</f>
        <v>L</v>
      </c>
      <c r="K508" s="4">
        <f>INDEX(products!$A$1:$G$49, MATCH(orders!$D508, products!$A$1:$A$49, 0), MATCH(orders!K$1, products!$A$1:$G$1, 0))</f>
        <v>1</v>
      </c>
      <c r="L508" s="5">
        <f>INDEX(products!$A$1:$G$49, MATCH(orders!$D508, products!$A$1:$A$49, 0), MATCH(orders!L$1, products!$A$1:$G$1, 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 MATCH(orders!$D509, products!$A$1:$A$49, 0), MATCH(orders!I$1, products!$A$1:$G$1, 0))</f>
        <v>Ara</v>
      </c>
      <c r="J509" t="str">
        <f>INDEX(products!$A$1:$G$49, MATCH(orders!$D509, products!$A$1:$A$49, 0), MATCH(orders!J$1, products!$A$1:$G$1, 0))</f>
        <v>L</v>
      </c>
      <c r="K509" s="4">
        <f>INDEX(products!$A$1:$G$49, MATCH(orders!$D509, products!$A$1:$A$49, 0), MATCH(orders!K$1, products!$A$1:$G$1, 0))</f>
        <v>2.5</v>
      </c>
      <c r="L509" s="5">
        <f>INDEX(products!$A$1:$G$49, MATCH(orders!$D509, products!$A$1:$A$49, 0), MATCH(orders!L$1, products!$A$1:$G$1, 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 MATCH(orders!$D510, products!$A$1:$A$49, 0), MATCH(orders!I$1, products!$A$1:$G$1, 0))</f>
        <v>Lib</v>
      </c>
      <c r="J510" t="str">
        <f>INDEX(products!$A$1:$G$49, MATCH(orders!$D510, products!$A$1:$A$49, 0), MATCH(orders!J$1, products!$A$1:$G$1, 0))</f>
        <v>D</v>
      </c>
      <c r="K510" s="4">
        <f>INDEX(products!$A$1:$G$49, MATCH(orders!$D510, products!$A$1:$A$49, 0), MATCH(orders!K$1, products!$A$1:$G$1, 0))</f>
        <v>0.5</v>
      </c>
      <c r="L510" s="5">
        <f>INDEX(products!$A$1:$G$49, MATCH(orders!$D510, products!$A$1:$A$49, 0), MATCH(orders!L$1, products!$A$1:$G$1, 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 MATCH(orders!$D511, products!$A$1:$A$49, 0), MATCH(orders!I$1, products!$A$1:$G$1, 0))</f>
        <v>Ara</v>
      </c>
      <c r="J511" t="str">
        <f>INDEX(products!$A$1:$G$49, MATCH(orders!$D511, products!$A$1:$A$49, 0), MATCH(orders!J$1, products!$A$1:$G$1, 0))</f>
        <v>D</v>
      </c>
      <c r="K511" s="4">
        <f>INDEX(products!$A$1:$G$49, MATCH(orders!$D511, products!$A$1:$A$49, 0), MATCH(orders!K$1, products!$A$1:$G$1, 0))</f>
        <v>1</v>
      </c>
      <c r="L511" s="5">
        <f>INDEX(products!$A$1:$G$49, MATCH(orders!$D511, products!$A$1:$A$49, 0), MATCH(orders!L$1, products!$A$1:$G$1, 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 MATCH(orders!$D512, products!$A$1:$A$49, 0), MATCH(orders!I$1, products!$A$1:$G$1, 0))</f>
        <v>Rob</v>
      </c>
      <c r="J512" t="str">
        <f>INDEX(products!$A$1:$G$49, MATCH(orders!$D512, products!$A$1:$A$49, 0), MATCH(orders!J$1, products!$A$1:$G$1, 0))</f>
        <v>L</v>
      </c>
      <c r="K512" s="4">
        <f>INDEX(products!$A$1:$G$49, MATCH(orders!$D512, products!$A$1:$A$49, 0), MATCH(orders!K$1, products!$A$1:$G$1, 0))</f>
        <v>0.2</v>
      </c>
      <c r="L512" s="5">
        <f>INDEX(products!$A$1:$G$49, MATCH(orders!$D512, products!$A$1:$A$49, 0), MATCH(orders!L$1, products!$A$1:$G$1, 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 MATCH(orders!$D513, products!$A$1:$A$49, 0), MATCH(orders!I$1, products!$A$1:$G$1, 0))</f>
        <v>Ara</v>
      </c>
      <c r="J513" t="str">
        <f>INDEX(products!$A$1:$G$49, MATCH(orders!$D513, products!$A$1:$A$49, 0), MATCH(orders!J$1, products!$A$1:$G$1, 0))</f>
        <v>M</v>
      </c>
      <c r="K513" s="4">
        <f>INDEX(products!$A$1:$G$49, MATCH(orders!$D513, products!$A$1:$A$49, 0), MATCH(orders!K$1, products!$A$1:$G$1, 0))</f>
        <v>0.2</v>
      </c>
      <c r="L513" s="5">
        <f>INDEX(products!$A$1:$G$49, MATCH(orders!$D513, products!$A$1:$A$49, 0), MATCH(orders!L$1, products!$A$1:$G$1, 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 MATCH(orders!$D514, products!$A$1:$A$49, 0), MATCH(orders!I$1, products!$A$1:$G$1, 0))</f>
        <v>Lib</v>
      </c>
      <c r="J514" t="str">
        <f>INDEX(products!$A$1:$G$49, MATCH(orders!$D514, products!$A$1:$A$49, 0), MATCH(orders!J$1, products!$A$1:$G$1, 0))</f>
        <v>L</v>
      </c>
      <c r="K514" s="4">
        <f>INDEX(products!$A$1:$G$49, MATCH(orders!$D514, products!$A$1:$A$49, 0), MATCH(orders!K$1, products!$A$1:$G$1, 0))</f>
        <v>1</v>
      </c>
      <c r="L514" s="5">
        <f>INDEX(products!$A$1:$G$49, MATCH(orders!$D514, products!$A$1:$A$49, 0), MATCH(orders!L$1, products!$A$1:$G$1, 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 MATCH(orders!$D515, products!$A$1:$A$49, 0), MATCH(orders!I$1, products!$A$1:$G$1, 0))</f>
        <v>Lib</v>
      </c>
      <c r="J515" t="str">
        <f>INDEX(products!$A$1:$G$49, MATCH(orders!$D515, products!$A$1:$A$49, 0), MATCH(orders!J$1, products!$A$1:$G$1, 0))</f>
        <v>L</v>
      </c>
      <c r="K515" s="4">
        <f>INDEX(products!$A$1:$G$49, MATCH(orders!$D515, products!$A$1:$A$49, 0), MATCH(orders!K$1, products!$A$1:$G$1, 0))</f>
        <v>1</v>
      </c>
      <c r="L515" s="5">
        <f>INDEX(products!$A$1:$G$49, MATCH(orders!$D515, products!$A$1:$A$49, 0), MATCH(orders!L$1, products!$A$1:$G$1, 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 MATCH(orders!$D516, products!$A$1:$A$49, 0), MATCH(orders!I$1, products!$A$1:$G$1, 0))</f>
        <v>Lib</v>
      </c>
      <c r="J516" t="str">
        <f>INDEX(products!$A$1:$G$49, MATCH(orders!$D516, products!$A$1:$A$49, 0), MATCH(orders!J$1, products!$A$1:$G$1, 0))</f>
        <v>M</v>
      </c>
      <c r="K516" s="4">
        <f>INDEX(products!$A$1:$G$49, MATCH(orders!$D516, products!$A$1:$A$49, 0), MATCH(orders!K$1, products!$A$1:$G$1, 0))</f>
        <v>0.2</v>
      </c>
      <c r="L516" s="5">
        <f>INDEX(products!$A$1:$G$49, MATCH(orders!$D516, products!$A$1:$A$49, 0), MATCH(orders!L$1, products!$A$1:$G$1, 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 MATCH(orders!$D517, products!$A$1:$A$49, 0), MATCH(orders!I$1, products!$A$1:$G$1, 0))</f>
        <v>Rob</v>
      </c>
      <c r="J517" t="str">
        <f>INDEX(products!$A$1:$G$49, MATCH(orders!$D517, products!$A$1:$A$49, 0), MATCH(orders!J$1, products!$A$1:$G$1, 0))</f>
        <v>L</v>
      </c>
      <c r="K517" s="4">
        <f>INDEX(products!$A$1:$G$49, MATCH(orders!$D517, products!$A$1:$A$49, 0), MATCH(orders!K$1, products!$A$1:$G$1, 0))</f>
        <v>0.5</v>
      </c>
      <c r="L517" s="5">
        <f>INDEX(products!$A$1:$G$49, MATCH(orders!$D517, products!$A$1:$A$49, 0), MATCH(orders!L$1, products!$A$1:$G$1, 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 MATCH(orders!$D518, products!$A$1:$A$49, 0), MATCH(orders!I$1, products!$A$1:$G$1, 0))</f>
        <v>Rob</v>
      </c>
      <c r="J518" t="str">
        <f>INDEX(products!$A$1:$G$49, MATCH(orders!$D518, products!$A$1:$A$49, 0), MATCH(orders!J$1, products!$A$1:$G$1, 0))</f>
        <v>D</v>
      </c>
      <c r="K518" s="4">
        <f>INDEX(products!$A$1:$G$49, MATCH(orders!$D518, products!$A$1:$A$49, 0), MATCH(orders!K$1, products!$A$1:$G$1, 0))</f>
        <v>2.5</v>
      </c>
      <c r="L518" s="5">
        <f>INDEX(products!$A$1:$G$49, MATCH(orders!$D518, products!$A$1:$A$49, 0), MATCH(orders!L$1, products!$A$1:$G$1, 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 MATCH(orders!$D519, products!$A$1:$A$49, 0), MATCH(orders!I$1, products!$A$1:$G$1, 0))</f>
        <v>Lib</v>
      </c>
      <c r="J519" t="str">
        <f>INDEX(products!$A$1:$G$49, MATCH(orders!$D519, products!$A$1:$A$49, 0), MATCH(orders!J$1, products!$A$1:$G$1, 0))</f>
        <v>D</v>
      </c>
      <c r="K519" s="4">
        <f>INDEX(products!$A$1:$G$49, MATCH(orders!$D519, products!$A$1:$A$49, 0), MATCH(orders!K$1, products!$A$1:$G$1, 0))</f>
        <v>0.2</v>
      </c>
      <c r="L519" s="5">
        <f>INDEX(products!$A$1:$G$49, MATCH(orders!$D519, products!$A$1:$A$49, 0), MATCH(orders!L$1, products!$A$1:$G$1, 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 MATCH(orders!$D520, products!$A$1:$A$49, 0), MATCH(orders!I$1, products!$A$1:$G$1, 0))</f>
        <v>Exc</v>
      </c>
      <c r="J520" t="str">
        <f>INDEX(products!$A$1:$G$49, MATCH(orders!$D520, products!$A$1:$A$49, 0), MATCH(orders!J$1, products!$A$1:$G$1, 0))</f>
        <v>D</v>
      </c>
      <c r="K520" s="4">
        <f>INDEX(products!$A$1:$G$49, MATCH(orders!$D520, products!$A$1:$A$49, 0), MATCH(orders!K$1, products!$A$1:$G$1, 0))</f>
        <v>2.5</v>
      </c>
      <c r="L520" s="5">
        <f>INDEX(products!$A$1:$G$49, MATCH(orders!$D520, products!$A$1:$A$49, 0), MATCH(orders!L$1, products!$A$1:$G$1, 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 MATCH(orders!$D521, products!$A$1:$A$49, 0), MATCH(orders!I$1, products!$A$1:$G$1, 0))</f>
        <v>Ara</v>
      </c>
      <c r="J521" t="str">
        <f>INDEX(products!$A$1:$G$49, MATCH(orders!$D521, products!$A$1:$A$49, 0), MATCH(orders!J$1, products!$A$1:$G$1, 0))</f>
        <v>D</v>
      </c>
      <c r="K521" s="4">
        <f>INDEX(products!$A$1:$G$49, MATCH(orders!$D521, products!$A$1:$A$49, 0), MATCH(orders!K$1, products!$A$1:$G$1, 0))</f>
        <v>0.5</v>
      </c>
      <c r="L521" s="5">
        <f>INDEX(products!$A$1:$G$49, MATCH(orders!$D521, products!$A$1:$A$49, 0), MATCH(orders!L$1, products!$A$1:$G$1, 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 MATCH(orders!$D522, products!$A$1:$A$49, 0), MATCH(orders!I$1, products!$A$1:$G$1, 0))</f>
        <v>Lib</v>
      </c>
      <c r="J522" t="str">
        <f>INDEX(products!$A$1:$G$49, MATCH(orders!$D522, products!$A$1:$A$49, 0), MATCH(orders!J$1, products!$A$1:$G$1, 0))</f>
        <v>D</v>
      </c>
      <c r="K522" s="4">
        <f>INDEX(products!$A$1:$G$49, MATCH(orders!$D522, products!$A$1:$A$49, 0), MATCH(orders!K$1, products!$A$1:$G$1, 0))</f>
        <v>0.2</v>
      </c>
      <c r="L522" s="5">
        <f>INDEX(products!$A$1:$G$49, MATCH(orders!$D522, products!$A$1:$A$49, 0), MATCH(orders!L$1, products!$A$1:$G$1, 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 MATCH(orders!$D523, products!$A$1:$A$49, 0), MATCH(orders!I$1, products!$A$1:$G$1, 0))</f>
        <v>Rob</v>
      </c>
      <c r="J523" t="str">
        <f>INDEX(products!$A$1:$G$49, MATCH(orders!$D523, products!$A$1:$A$49, 0), MATCH(orders!J$1, products!$A$1:$G$1, 0))</f>
        <v>M</v>
      </c>
      <c r="K523" s="4">
        <f>INDEX(products!$A$1:$G$49, MATCH(orders!$D523, products!$A$1:$A$49, 0), MATCH(orders!K$1, products!$A$1:$G$1, 0))</f>
        <v>1</v>
      </c>
      <c r="L523" s="5">
        <f>INDEX(products!$A$1:$G$49, MATCH(orders!$D523, products!$A$1:$A$49, 0), MATCH(orders!L$1, products!$A$1:$G$1, 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 MATCH(orders!$D524, products!$A$1:$A$49, 0), MATCH(orders!I$1, products!$A$1:$G$1, 0))</f>
        <v>Rob</v>
      </c>
      <c r="J524" t="str">
        <f>INDEX(products!$A$1:$G$49, MATCH(orders!$D524, products!$A$1:$A$49, 0), MATCH(orders!J$1, products!$A$1:$G$1, 0))</f>
        <v>M</v>
      </c>
      <c r="K524" s="4">
        <f>INDEX(products!$A$1:$G$49, MATCH(orders!$D524, products!$A$1:$A$49, 0), MATCH(orders!K$1, products!$A$1:$G$1, 0))</f>
        <v>0.5</v>
      </c>
      <c r="L524" s="5">
        <f>INDEX(products!$A$1:$G$49, MATCH(orders!$D524, products!$A$1:$A$49, 0), MATCH(orders!L$1, products!$A$1:$G$1, 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 MATCH(orders!$D525, products!$A$1:$A$49, 0), MATCH(orders!I$1, products!$A$1:$G$1, 0))</f>
        <v>Lib</v>
      </c>
      <c r="J525" t="str">
        <f>INDEX(products!$A$1:$G$49, MATCH(orders!$D525, products!$A$1:$A$49, 0), MATCH(orders!J$1, products!$A$1:$G$1, 0))</f>
        <v>D</v>
      </c>
      <c r="K525" s="4">
        <f>INDEX(products!$A$1:$G$49, MATCH(orders!$D525, products!$A$1:$A$49, 0), MATCH(orders!K$1, products!$A$1:$G$1, 0))</f>
        <v>2.5</v>
      </c>
      <c r="L525" s="5">
        <f>INDEX(products!$A$1:$G$49, MATCH(orders!$D525, products!$A$1:$A$49, 0), MATCH(orders!L$1, products!$A$1:$G$1, 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 MATCH(orders!$D526, products!$A$1:$A$49, 0), MATCH(orders!I$1, products!$A$1:$G$1, 0))</f>
        <v>Lib</v>
      </c>
      <c r="J526" t="str">
        <f>INDEX(products!$A$1:$G$49, MATCH(orders!$D526, products!$A$1:$A$49, 0), MATCH(orders!J$1, products!$A$1:$G$1, 0))</f>
        <v>L</v>
      </c>
      <c r="K526" s="4">
        <f>INDEX(products!$A$1:$G$49, MATCH(orders!$D526, products!$A$1:$A$49, 0), MATCH(orders!K$1, products!$A$1:$G$1, 0))</f>
        <v>2.5</v>
      </c>
      <c r="L526" s="5">
        <f>INDEX(products!$A$1:$G$49, MATCH(orders!$D526, products!$A$1:$A$49, 0), MATCH(orders!L$1, products!$A$1:$G$1, 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 MATCH(orders!$D527, products!$A$1:$A$49, 0), MATCH(orders!I$1, products!$A$1:$G$1, 0))</f>
        <v>Rob</v>
      </c>
      <c r="J527" t="str">
        <f>INDEX(products!$A$1:$G$49, MATCH(orders!$D527, products!$A$1:$A$49, 0), MATCH(orders!J$1, products!$A$1:$G$1, 0))</f>
        <v>D</v>
      </c>
      <c r="K527" s="4">
        <f>INDEX(products!$A$1:$G$49, MATCH(orders!$D527, products!$A$1:$A$49, 0), MATCH(orders!K$1, products!$A$1:$G$1, 0))</f>
        <v>0.2</v>
      </c>
      <c r="L527" s="5">
        <f>INDEX(products!$A$1:$G$49, MATCH(orders!$D527, products!$A$1:$A$49, 0), MATCH(orders!L$1, products!$A$1:$G$1, 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 MATCH(orders!$D528, products!$A$1:$A$49, 0), MATCH(orders!I$1, products!$A$1:$G$1, 0))</f>
        <v>Exc</v>
      </c>
      <c r="J528" t="str">
        <f>INDEX(products!$A$1:$G$49, MATCH(orders!$D528, products!$A$1:$A$49, 0), MATCH(orders!J$1, products!$A$1:$G$1, 0))</f>
        <v>M</v>
      </c>
      <c r="K528" s="4">
        <f>INDEX(products!$A$1:$G$49, MATCH(orders!$D528, products!$A$1:$A$49, 0), MATCH(orders!K$1, products!$A$1:$G$1, 0))</f>
        <v>2.5</v>
      </c>
      <c r="L528" s="5">
        <f>INDEX(products!$A$1:$G$49, MATCH(orders!$D528, products!$A$1:$A$49, 0), MATCH(orders!L$1, products!$A$1:$G$1, 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 MATCH(orders!$D529, products!$A$1:$A$49, 0), MATCH(orders!I$1, products!$A$1:$G$1, 0))</f>
        <v>Exc</v>
      </c>
      <c r="J529" t="str">
        <f>INDEX(products!$A$1:$G$49, MATCH(orders!$D529, products!$A$1:$A$49, 0), MATCH(orders!J$1, products!$A$1:$G$1, 0))</f>
        <v>M</v>
      </c>
      <c r="K529" s="4">
        <f>INDEX(products!$A$1:$G$49, MATCH(orders!$D529, products!$A$1:$A$49, 0), MATCH(orders!K$1, products!$A$1:$G$1, 0))</f>
        <v>0.5</v>
      </c>
      <c r="L529" s="5">
        <f>INDEX(products!$A$1:$G$49, MATCH(orders!$D529, products!$A$1:$A$49, 0), MATCH(orders!L$1, products!$A$1:$G$1, 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 MATCH(orders!$D530, products!$A$1:$A$49, 0), MATCH(orders!I$1, products!$A$1:$G$1, 0))</f>
        <v>Exc</v>
      </c>
      <c r="J530" t="str">
        <f>INDEX(products!$A$1:$G$49, MATCH(orders!$D530, products!$A$1:$A$49, 0), MATCH(orders!J$1, products!$A$1:$G$1, 0))</f>
        <v>L</v>
      </c>
      <c r="K530" s="4">
        <f>INDEX(products!$A$1:$G$49, MATCH(orders!$D530, products!$A$1:$A$49, 0), MATCH(orders!K$1, products!$A$1:$G$1, 0))</f>
        <v>0.5</v>
      </c>
      <c r="L530" s="5">
        <f>INDEX(products!$A$1:$G$49, MATCH(orders!$D530, products!$A$1:$A$49, 0), MATCH(orders!L$1, products!$A$1:$G$1, 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 MATCH(orders!$D531, products!$A$1:$A$49, 0), MATCH(orders!I$1, products!$A$1:$G$1, 0))</f>
        <v>Rob</v>
      </c>
      <c r="J531" t="str">
        <f>INDEX(products!$A$1:$G$49, MATCH(orders!$D531, products!$A$1:$A$49, 0), MATCH(orders!J$1, products!$A$1:$G$1, 0))</f>
        <v>M</v>
      </c>
      <c r="K531" s="4">
        <f>INDEX(products!$A$1:$G$49, MATCH(orders!$D531, products!$A$1:$A$49, 0), MATCH(orders!K$1, products!$A$1:$G$1, 0))</f>
        <v>1</v>
      </c>
      <c r="L531" s="5">
        <f>INDEX(products!$A$1:$G$49, MATCH(orders!$D531, products!$A$1:$A$49, 0), MATCH(orders!L$1, products!$A$1:$G$1, 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 MATCH(orders!$D532, products!$A$1:$A$49, 0), MATCH(orders!I$1, products!$A$1:$G$1, 0))</f>
        <v>Rob</v>
      </c>
      <c r="J532" t="str">
        <f>INDEX(products!$A$1:$G$49, MATCH(orders!$D532, products!$A$1:$A$49, 0), MATCH(orders!J$1, products!$A$1:$G$1, 0))</f>
        <v>M</v>
      </c>
      <c r="K532" s="4">
        <f>INDEX(products!$A$1:$G$49, MATCH(orders!$D532, products!$A$1:$A$49, 0), MATCH(orders!K$1, products!$A$1:$G$1, 0))</f>
        <v>1</v>
      </c>
      <c r="L532" s="5">
        <f>INDEX(products!$A$1:$G$49, MATCH(orders!$D532, products!$A$1:$A$49, 0), MATCH(orders!L$1, products!$A$1:$G$1, 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 MATCH(orders!$D533, products!$A$1:$A$49, 0), MATCH(orders!I$1, products!$A$1:$G$1, 0))</f>
        <v>Rob</v>
      </c>
      <c r="J533" t="str">
        <f>INDEX(products!$A$1:$G$49, MATCH(orders!$D533, products!$A$1:$A$49, 0), MATCH(orders!J$1, products!$A$1:$G$1, 0))</f>
        <v>D</v>
      </c>
      <c r="K533" s="4">
        <f>INDEX(products!$A$1:$G$49, MATCH(orders!$D533, products!$A$1:$A$49, 0), MATCH(orders!K$1, products!$A$1:$G$1, 0))</f>
        <v>1</v>
      </c>
      <c r="L533" s="5">
        <f>INDEX(products!$A$1:$G$49, MATCH(orders!$D533, products!$A$1:$A$49, 0), MATCH(orders!L$1, products!$A$1:$G$1, 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 MATCH(orders!$D534, products!$A$1:$A$49, 0), MATCH(orders!I$1, products!$A$1:$G$1, 0))</f>
        <v>Exc</v>
      </c>
      <c r="J534" t="str">
        <f>INDEX(products!$A$1:$G$49, MATCH(orders!$D534, products!$A$1:$A$49, 0), MATCH(orders!J$1, products!$A$1:$G$1, 0))</f>
        <v>M</v>
      </c>
      <c r="K534" s="4">
        <f>INDEX(products!$A$1:$G$49, MATCH(orders!$D534, products!$A$1:$A$49, 0), MATCH(orders!K$1, products!$A$1:$G$1, 0))</f>
        <v>0.5</v>
      </c>
      <c r="L534" s="5">
        <f>INDEX(products!$A$1:$G$49, MATCH(orders!$D534, products!$A$1:$A$49, 0), MATCH(orders!L$1, products!$A$1:$G$1, 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 MATCH(orders!$D535, products!$A$1:$A$49, 0), MATCH(orders!I$1, products!$A$1:$G$1, 0))</f>
        <v>Rob</v>
      </c>
      <c r="J535" t="str">
        <f>INDEX(products!$A$1:$G$49, MATCH(orders!$D535, products!$A$1:$A$49, 0), MATCH(orders!J$1, products!$A$1:$G$1, 0))</f>
        <v>D</v>
      </c>
      <c r="K535" s="4">
        <f>INDEX(products!$A$1:$G$49, MATCH(orders!$D535, products!$A$1:$A$49, 0), MATCH(orders!K$1, products!$A$1:$G$1, 0))</f>
        <v>0.5</v>
      </c>
      <c r="L535" s="5">
        <f>INDEX(products!$A$1:$G$49, MATCH(orders!$D535, products!$A$1:$A$49, 0), MATCH(orders!L$1, products!$A$1:$G$1, 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 MATCH(orders!$D536, products!$A$1:$A$49, 0), MATCH(orders!I$1, products!$A$1:$G$1, 0))</f>
        <v>Rob</v>
      </c>
      <c r="J536" t="str">
        <f>INDEX(products!$A$1:$G$49, MATCH(orders!$D536, products!$A$1:$A$49, 0), MATCH(orders!J$1, products!$A$1:$G$1, 0))</f>
        <v>M</v>
      </c>
      <c r="K536" s="4">
        <f>INDEX(products!$A$1:$G$49, MATCH(orders!$D536, products!$A$1:$A$49, 0), MATCH(orders!K$1, products!$A$1:$G$1, 0))</f>
        <v>2.5</v>
      </c>
      <c r="L536" s="5">
        <f>INDEX(products!$A$1:$G$49, MATCH(orders!$D536, products!$A$1:$A$49, 0), MATCH(orders!L$1, products!$A$1:$G$1, 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 MATCH(orders!$D537, products!$A$1:$A$49, 0), MATCH(orders!I$1, products!$A$1:$G$1, 0))</f>
        <v>Lib</v>
      </c>
      <c r="J537" t="str">
        <f>INDEX(products!$A$1:$G$49, MATCH(orders!$D537, products!$A$1:$A$49, 0), MATCH(orders!J$1, products!$A$1:$G$1, 0))</f>
        <v>L</v>
      </c>
      <c r="K537" s="4">
        <f>INDEX(products!$A$1:$G$49, MATCH(orders!$D537, products!$A$1:$A$49, 0), MATCH(orders!K$1, products!$A$1:$G$1, 0))</f>
        <v>0.2</v>
      </c>
      <c r="L537" s="5">
        <f>INDEX(products!$A$1:$G$49, MATCH(orders!$D537, products!$A$1:$A$49, 0), MATCH(orders!L$1, products!$A$1:$G$1, 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 MATCH(orders!$D538, products!$A$1:$A$49, 0), MATCH(orders!I$1, products!$A$1:$G$1, 0))</f>
        <v>Rob</v>
      </c>
      <c r="J538" t="str">
        <f>INDEX(products!$A$1:$G$49, MATCH(orders!$D538, products!$A$1:$A$49, 0), MATCH(orders!J$1, products!$A$1:$G$1, 0))</f>
        <v>D</v>
      </c>
      <c r="K538" s="4">
        <f>INDEX(products!$A$1:$G$49, MATCH(orders!$D538, products!$A$1:$A$49, 0), MATCH(orders!K$1, products!$A$1:$G$1, 0))</f>
        <v>0.2</v>
      </c>
      <c r="L538" s="5">
        <f>INDEX(products!$A$1:$G$49, MATCH(orders!$D538, products!$A$1:$A$49, 0), MATCH(orders!L$1, products!$A$1:$G$1, 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 MATCH(orders!$D539, products!$A$1:$A$49, 0), MATCH(orders!I$1, products!$A$1:$G$1, 0))</f>
        <v>Exc</v>
      </c>
      <c r="J539" t="str">
        <f>INDEX(products!$A$1:$G$49, MATCH(orders!$D539, products!$A$1:$A$49, 0), MATCH(orders!J$1, products!$A$1:$G$1, 0))</f>
        <v>D</v>
      </c>
      <c r="K539" s="4">
        <f>INDEX(products!$A$1:$G$49, MATCH(orders!$D539, products!$A$1:$A$49, 0), MATCH(orders!K$1, products!$A$1:$G$1, 0))</f>
        <v>2.5</v>
      </c>
      <c r="L539" s="5">
        <f>INDEX(products!$A$1:$G$49, MATCH(orders!$D539, products!$A$1:$A$49, 0), MATCH(orders!L$1, products!$A$1:$G$1, 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 MATCH(orders!$D540, products!$A$1:$A$49, 0), MATCH(orders!I$1, products!$A$1:$G$1, 0))</f>
        <v>Rob</v>
      </c>
      <c r="J540" t="str">
        <f>INDEX(products!$A$1:$G$49, MATCH(orders!$D540, products!$A$1:$A$49, 0), MATCH(orders!J$1, products!$A$1:$G$1, 0))</f>
        <v>D</v>
      </c>
      <c r="K540" s="4">
        <f>INDEX(products!$A$1:$G$49, MATCH(orders!$D540, products!$A$1:$A$49, 0), MATCH(orders!K$1, products!$A$1:$G$1, 0))</f>
        <v>0.2</v>
      </c>
      <c r="L540" s="5">
        <f>INDEX(products!$A$1:$G$49, MATCH(orders!$D540, products!$A$1:$A$49, 0), MATCH(orders!L$1, products!$A$1:$G$1, 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 MATCH(orders!$D541, products!$A$1:$A$49, 0), MATCH(orders!I$1, products!$A$1:$G$1, 0))</f>
        <v>Rob</v>
      </c>
      <c r="J541" t="str">
        <f>INDEX(products!$A$1:$G$49, MATCH(orders!$D541, products!$A$1:$A$49, 0), MATCH(orders!J$1, products!$A$1:$G$1, 0))</f>
        <v>D</v>
      </c>
      <c r="K541" s="4">
        <f>INDEX(products!$A$1:$G$49, MATCH(orders!$D541, products!$A$1:$A$49, 0), MATCH(orders!K$1, products!$A$1:$G$1, 0))</f>
        <v>0.5</v>
      </c>
      <c r="L541" s="5">
        <f>INDEX(products!$A$1:$G$49, MATCH(orders!$D541, products!$A$1:$A$49, 0), MATCH(orders!L$1, products!$A$1:$G$1, 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 MATCH(orders!$D542, products!$A$1:$A$49, 0), MATCH(orders!I$1, products!$A$1:$G$1, 0))</f>
        <v>Lib</v>
      </c>
      <c r="J542" t="str">
        <f>INDEX(products!$A$1:$G$49, MATCH(orders!$D542, products!$A$1:$A$49, 0), MATCH(orders!J$1, products!$A$1:$G$1, 0))</f>
        <v>L</v>
      </c>
      <c r="K542" s="4">
        <f>INDEX(products!$A$1:$G$49, MATCH(orders!$D542, products!$A$1:$A$49, 0), MATCH(orders!K$1, products!$A$1:$G$1, 0))</f>
        <v>1</v>
      </c>
      <c r="L542" s="5">
        <f>INDEX(products!$A$1:$G$49, MATCH(orders!$D542, products!$A$1:$A$49, 0), MATCH(orders!L$1, products!$A$1:$G$1, 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 MATCH(orders!$D543, products!$A$1:$A$49, 0), MATCH(orders!I$1, products!$A$1:$G$1, 0))</f>
        <v>Ara</v>
      </c>
      <c r="J543" t="str">
        <f>INDEX(products!$A$1:$G$49, MATCH(orders!$D543, products!$A$1:$A$49, 0), MATCH(orders!J$1, products!$A$1:$G$1, 0))</f>
        <v>D</v>
      </c>
      <c r="K543" s="4">
        <f>INDEX(products!$A$1:$G$49, MATCH(orders!$D543, products!$A$1:$A$49, 0), MATCH(orders!K$1, products!$A$1:$G$1, 0))</f>
        <v>2.5</v>
      </c>
      <c r="L543" s="5">
        <f>INDEX(products!$A$1:$G$49, MATCH(orders!$D543, products!$A$1:$A$49, 0), MATCH(orders!L$1, products!$A$1:$G$1, 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 MATCH(orders!$D544, products!$A$1:$A$49, 0), MATCH(orders!I$1, products!$A$1:$G$1, 0))</f>
        <v>Ara</v>
      </c>
      <c r="J544" t="str">
        <f>INDEX(products!$A$1:$G$49, MATCH(orders!$D544, products!$A$1:$A$49, 0), MATCH(orders!J$1, products!$A$1:$G$1, 0))</f>
        <v>M</v>
      </c>
      <c r="K544" s="4">
        <f>INDEX(products!$A$1:$G$49, MATCH(orders!$D544, products!$A$1:$A$49, 0), MATCH(orders!K$1, products!$A$1:$G$1, 0))</f>
        <v>2.5</v>
      </c>
      <c r="L544" s="5">
        <f>INDEX(products!$A$1:$G$49, MATCH(orders!$D544, products!$A$1:$A$49, 0), MATCH(orders!L$1, products!$A$1:$G$1, 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 MATCH(orders!$D545, products!$A$1:$A$49, 0), MATCH(orders!I$1, products!$A$1:$G$1, 0))</f>
        <v>Rob</v>
      </c>
      <c r="J545" t="str">
        <f>INDEX(products!$A$1:$G$49, MATCH(orders!$D545, products!$A$1:$A$49, 0), MATCH(orders!J$1, products!$A$1:$G$1, 0))</f>
        <v>L</v>
      </c>
      <c r="K545" s="4">
        <f>INDEX(products!$A$1:$G$49, MATCH(orders!$D545, products!$A$1:$A$49, 0), MATCH(orders!K$1, products!$A$1:$G$1, 0))</f>
        <v>2.5</v>
      </c>
      <c r="L545" s="5">
        <f>INDEX(products!$A$1:$G$49, MATCH(orders!$D545, products!$A$1:$A$49, 0), MATCH(orders!L$1, products!$A$1:$G$1, 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 MATCH(orders!$D546, products!$A$1:$A$49, 0), MATCH(orders!I$1, products!$A$1:$G$1, 0))</f>
        <v>Ara</v>
      </c>
      <c r="J546" t="str">
        <f>INDEX(products!$A$1:$G$49, MATCH(orders!$D546, products!$A$1:$A$49, 0), MATCH(orders!J$1, products!$A$1:$G$1, 0))</f>
        <v>L</v>
      </c>
      <c r="K546" s="4">
        <f>INDEX(products!$A$1:$G$49, MATCH(orders!$D546, products!$A$1:$A$49, 0), MATCH(orders!K$1, products!$A$1:$G$1, 0))</f>
        <v>0.5</v>
      </c>
      <c r="L546" s="5">
        <f>INDEX(products!$A$1:$G$49, MATCH(orders!$D546, products!$A$1:$A$49, 0), MATCH(orders!L$1, products!$A$1:$G$1, 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 MATCH(orders!$D547, products!$A$1:$A$49, 0), MATCH(orders!I$1, products!$A$1:$G$1, 0))</f>
        <v>Lib</v>
      </c>
      <c r="J547" t="str">
        <f>INDEX(products!$A$1:$G$49, MATCH(orders!$D547, products!$A$1:$A$49, 0), MATCH(orders!J$1, products!$A$1:$G$1, 0))</f>
        <v>D</v>
      </c>
      <c r="K547" s="4">
        <f>INDEX(products!$A$1:$G$49, MATCH(orders!$D547, products!$A$1:$A$49, 0), MATCH(orders!K$1, products!$A$1:$G$1, 0))</f>
        <v>0.2</v>
      </c>
      <c r="L547" s="5">
        <f>INDEX(products!$A$1:$G$49, MATCH(orders!$D547, products!$A$1:$A$49, 0), MATCH(orders!L$1, products!$A$1:$G$1, 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 MATCH(orders!$D548, products!$A$1:$A$49, 0), MATCH(orders!I$1, products!$A$1:$G$1, 0))</f>
        <v>Exc</v>
      </c>
      <c r="J548" t="str">
        <f>INDEX(products!$A$1:$G$49, MATCH(orders!$D548, products!$A$1:$A$49, 0), MATCH(orders!J$1, products!$A$1:$G$1, 0))</f>
        <v>D</v>
      </c>
      <c r="K548" s="4">
        <f>INDEX(products!$A$1:$G$49, MATCH(orders!$D548, products!$A$1:$A$49, 0), MATCH(orders!K$1, products!$A$1:$G$1, 0))</f>
        <v>2.5</v>
      </c>
      <c r="L548" s="5">
        <f>INDEX(products!$A$1:$G$49, MATCH(orders!$D548, products!$A$1:$A$49, 0), MATCH(orders!L$1, products!$A$1:$G$1, 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 MATCH(orders!$D549, products!$A$1:$A$49, 0), MATCH(orders!I$1, products!$A$1:$G$1, 0))</f>
        <v>Rob</v>
      </c>
      <c r="J549" t="str">
        <f>INDEX(products!$A$1:$G$49, MATCH(orders!$D549, products!$A$1:$A$49, 0), MATCH(orders!J$1, products!$A$1:$G$1, 0))</f>
        <v>L</v>
      </c>
      <c r="K549" s="4">
        <f>INDEX(products!$A$1:$G$49, MATCH(orders!$D549, products!$A$1:$A$49, 0), MATCH(orders!K$1, products!$A$1:$G$1, 0))</f>
        <v>0.2</v>
      </c>
      <c r="L549" s="5">
        <f>INDEX(products!$A$1:$G$49, MATCH(orders!$D549, products!$A$1:$A$49, 0), MATCH(orders!L$1, products!$A$1:$G$1, 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 MATCH(orders!$D550, products!$A$1:$A$49, 0), MATCH(orders!I$1, products!$A$1:$G$1, 0))</f>
        <v>Exc</v>
      </c>
      <c r="J550" t="str">
        <f>INDEX(products!$A$1:$G$49, MATCH(orders!$D550, products!$A$1:$A$49, 0), MATCH(orders!J$1, products!$A$1:$G$1, 0))</f>
        <v>L</v>
      </c>
      <c r="K550" s="4">
        <f>INDEX(products!$A$1:$G$49, MATCH(orders!$D550, products!$A$1:$A$49, 0), MATCH(orders!K$1, products!$A$1:$G$1, 0))</f>
        <v>0.2</v>
      </c>
      <c r="L550" s="5">
        <f>INDEX(products!$A$1:$G$49, MATCH(orders!$D550, products!$A$1:$A$49, 0), MATCH(orders!L$1, products!$A$1:$G$1, 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 MATCH(orders!$D551, products!$A$1:$A$49, 0), MATCH(orders!I$1, products!$A$1:$G$1, 0))</f>
        <v>Exc</v>
      </c>
      <c r="J551" t="str">
        <f>INDEX(products!$A$1:$G$49, MATCH(orders!$D551, products!$A$1:$A$49, 0), MATCH(orders!J$1, products!$A$1:$G$1, 0))</f>
        <v>L</v>
      </c>
      <c r="K551" s="4">
        <f>INDEX(products!$A$1:$G$49, MATCH(orders!$D551, products!$A$1:$A$49, 0), MATCH(orders!K$1, products!$A$1:$G$1, 0))</f>
        <v>0.2</v>
      </c>
      <c r="L551" s="5">
        <f>INDEX(products!$A$1:$G$49, MATCH(orders!$D551, products!$A$1:$A$49, 0), MATCH(orders!L$1, products!$A$1:$G$1, 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 MATCH(orders!$D552, products!$A$1:$A$49, 0), MATCH(orders!I$1, products!$A$1:$G$1, 0))</f>
        <v>Lib</v>
      </c>
      <c r="J552" t="str">
        <f>INDEX(products!$A$1:$G$49, MATCH(orders!$D552, products!$A$1:$A$49, 0), MATCH(orders!J$1, products!$A$1:$G$1, 0))</f>
        <v>D</v>
      </c>
      <c r="K552" s="4">
        <f>INDEX(products!$A$1:$G$49, MATCH(orders!$D552, products!$A$1:$A$49, 0), MATCH(orders!K$1, products!$A$1:$G$1, 0))</f>
        <v>0.2</v>
      </c>
      <c r="L552" s="5">
        <f>INDEX(products!$A$1:$G$49, MATCH(orders!$D552, products!$A$1:$A$49, 0), MATCH(orders!L$1, products!$A$1:$G$1, 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 MATCH(orders!$D553, products!$A$1:$A$49, 0), MATCH(orders!I$1, products!$A$1:$G$1, 0))</f>
        <v>Exc</v>
      </c>
      <c r="J553" t="str">
        <f>INDEX(products!$A$1:$G$49, MATCH(orders!$D553, products!$A$1:$A$49, 0), MATCH(orders!J$1, products!$A$1:$G$1, 0))</f>
        <v>D</v>
      </c>
      <c r="K553" s="4">
        <f>INDEX(products!$A$1:$G$49, MATCH(orders!$D553, products!$A$1:$A$49, 0), MATCH(orders!K$1, products!$A$1:$G$1, 0))</f>
        <v>0.2</v>
      </c>
      <c r="L553" s="5">
        <f>INDEX(products!$A$1:$G$49, MATCH(orders!$D553, products!$A$1:$A$49, 0), MATCH(orders!L$1, products!$A$1:$G$1, 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 MATCH(orders!$D554, products!$A$1:$A$49, 0), MATCH(orders!I$1, products!$A$1:$G$1, 0))</f>
        <v>Exc</v>
      </c>
      <c r="J554" t="str">
        <f>INDEX(products!$A$1:$G$49, MATCH(orders!$D554, products!$A$1:$A$49, 0), MATCH(orders!J$1, products!$A$1:$G$1, 0))</f>
        <v>L</v>
      </c>
      <c r="K554" s="4">
        <f>INDEX(products!$A$1:$G$49, MATCH(orders!$D554, products!$A$1:$A$49, 0), MATCH(orders!K$1, products!$A$1:$G$1, 0))</f>
        <v>0.2</v>
      </c>
      <c r="L554" s="5">
        <f>INDEX(products!$A$1:$G$49, MATCH(orders!$D554, products!$A$1:$A$49, 0), MATCH(orders!L$1, products!$A$1:$G$1, 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 MATCH(orders!$D555, products!$A$1:$A$49, 0), MATCH(orders!I$1, products!$A$1:$G$1, 0))</f>
        <v>Exc</v>
      </c>
      <c r="J555" t="str">
        <f>INDEX(products!$A$1:$G$49, MATCH(orders!$D555, products!$A$1:$A$49, 0), MATCH(orders!J$1, products!$A$1:$G$1, 0))</f>
        <v>M</v>
      </c>
      <c r="K555" s="4">
        <f>INDEX(products!$A$1:$G$49, MATCH(orders!$D555, products!$A$1:$A$49, 0), MATCH(orders!K$1, products!$A$1:$G$1, 0))</f>
        <v>1</v>
      </c>
      <c r="L555" s="5">
        <f>INDEX(products!$A$1:$G$49, MATCH(orders!$D555, products!$A$1:$A$49, 0), MATCH(orders!L$1, products!$A$1:$G$1, 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 MATCH(orders!$D556, products!$A$1:$A$49, 0), MATCH(orders!I$1, products!$A$1:$G$1, 0))</f>
        <v>Rob</v>
      </c>
      <c r="J556" t="str">
        <f>INDEX(products!$A$1:$G$49, MATCH(orders!$D556, products!$A$1:$A$49, 0), MATCH(orders!J$1, products!$A$1:$G$1, 0))</f>
        <v>L</v>
      </c>
      <c r="K556" s="4">
        <f>INDEX(products!$A$1:$G$49, MATCH(orders!$D556, products!$A$1:$A$49, 0), MATCH(orders!K$1, products!$A$1:$G$1, 0))</f>
        <v>2.5</v>
      </c>
      <c r="L556" s="5">
        <f>INDEX(products!$A$1:$G$49, MATCH(orders!$D556, products!$A$1:$A$49, 0), MATCH(orders!L$1, products!$A$1:$G$1, 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 MATCH(orders!$D557, products!$A$1:$A$49, 0), MATCH(orders!I$1, products!$A$1:$G$1, 0))</f>
        <v>Exc</v>
      </c>
      <c r="J557" t="str">
        <f>INDEX(products!$A$1:$G$49, MATCH(orders!$D557, products!$A$1:$A$49, 0), MATCH(orders!J$1, products!$A$1:$G$1, 0))</f>
        <v>M</v>
      </c>
      <c r="K557" s="4">
        <f>INDEX(products!$A$1:$G$49, MATCH(orders!$D557, products!$A$1:$A$49, 0), MATCH(orders!K$1, products!$A$1:$G$1, 0))</f>
        <v>1</v>
      </c>
      <c r="L557" s="5">
        <f>INDEX(products!$A$1:$G$49, MATCH(orders!$D557, products!$A$1:$A$49, 0), MATCH(orders!L$1, products!$A$1:$G$1, 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 MATCH(orders!$D558, products!$A$1:$A$49, 0), MATCH(orders!I$1, products!$A$1:$G$1, 0))</f>
        <v>Lib</v>
      </c>
      <c r="J558" t="str">
        <f>INDEX(products!$A$1:$G$49, MATCH(orders!$D558, products!$A$1:$A$49, 0), MATCH(orders!J$1, products!$A$1:$G$1, 0))</f>
        <v>M</v>
      </c>
      <c r="K558" s="4">
        <f>INDEX(products!$A$1:$G$49, MATCH(orders!$D558, products!$A$1:$A$49, 0), MATCH(orders!K$1, products!$A$1:$G$1, 0))</f>
        <v>0.2</v>
      </c>
      <c r="L558" s="5">
        <f>INDEX(products!$A$1:$G$49, MATCH(orders!$D558, products!$A$1:$A$49, 0), MATCH(orders!L$1, products!$A$1:$G$1, 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 MATCH(orders!$D559, products!$A$1:$A$49, 0), MATCH(orders!I$1, products!$A$1:$G$1, 0))</f>
        <v>Exc</v>
      </c>
      <c r="J559" t="str">
        <f>INDEX(products!$A$1:$G$49, MATCH(orders!$D559, products!$A$1:$A$49, 0), MATCH(orders!J$1, products!$A$1:$G$1, 0))</f>
        <v>L</v>
      </c>
      <c r="K559" s="4">
        <f>INDEX(products!$A$1:$G$49, MATCH(orders!$D559, products!$A$1:$A$49, 0), MATCH(orders!K$1, products!$A$1:$G$1, 0))</f>
        <v>1</v>
      </c>
      <c r="L559" s="5">
        <f>INDEX(products!$A$1:$G$49, MATCH(orders!$D559, products!$A$1:$A$49, 0), MATCH(orders!L$1, products!$A$1:$G$1, 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 MATCH(orders!$D560, products!$A$1:$A$49, 0), MATCH(orders!I$1, products!$A$1:$G$1, 0))</f>
        <v>Lib</v>
      </c>
      <c r="J560" t="str">
        <f>INDEX(products!$A$1:$G$49, MATCH(orders!$D560, products!$A$1:$A$49, 0), MATCH(orders!J$1, products!$A$1:$G$1, 0))</f>
        <v>D</v>
      </c>
      <c r="K560" s="4">
        <f>INDEX(products!$A$1:$G$49, MATCH(orders!$D560, products!$A$1:$A$49, 0), MATCH(orders!K$1, products!$A$1:$G$1, 0))</f>
        <v>0.2</v>
      </c>
      <c r="L560" s="5">
        <f>INDEX(products!$A$1:$G$49, MATCH(orders!$D560, products!$A$1:$A$49, 0), MATCH(orders!L$1, products!$A$1:$G$1, 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 MATCH(orders!$D561, products!$A$1:$A$49, 0), MATCH(orders!I$1, products!$A$1:$G$1, 0))</f>
        <v>Ara</v>
      </c>
      <c r="J561" t="str">
        <f>INDEX(products!$A$1:$G$49, MATCH(orders!$D561, products!$A$1:$A$49, 0), MATCH(orders!J$1, products!$A$1:$G$1, 0))</f>
        <v>L</v>
      </c>
      <c r="K561" s="4">
        <f>INDEX(products!$A$1:$G$49, MATCH(orders!$D561, products!$A$1:$A$49, 0), MATCH(orders!K$1, products!$A$1:$G$1, 0))</f>
        <v>1</v>
      </c>
      <c r="L561" s="5">
        <f>INDEX(products!$A$1:$G$49, MATCH(orders!$D561, products!$A$1:$A$49, 0), MATCH(orders!L$1, products!$A$1:$G$1, 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 MATCH(orders!$D562, products!$A$1:$A$49, 0), MATCH(orders!I$1, products!$A$1:$G$1, 0))</f>
        <v>Exc</v>
      </c>
      <c r="J562" t="str">
        <f>INDEX(products!$A$1:$G$49, MATCH(orders!$D562, products!$A$1:$A$49, 0), MATCH(orders!J$1, products!$A$1:$G$1, 0))</f>
        <v>M</v>
      </c>
      <c r="K562" s="4">
        <f>INDEX(products!$A$1:$G$49, MATCH(orders!$D562, products!$A$1:$A$49, 0), MATCH(orders!K$1, products!$A$1:$G$1, 0))</f>
        <v>2.5</v>
      </c>
      <c r="L562" s="5">
        <f>INDEX(products!$A$1:$G$49, MATCH(orders!$D562, products!$A$1:$A$49, 0), MATCH(orders!L$1, products!$A$1:$G$1, 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 MATCH(orders!$D563, products!$A$1:$A$49, 0), MATCH(orders!I$1, products!$A$1:$G$1, 0))</f>
        <v>Ara</v>
      </c>
      <c r="J563" t="str">
        <f>INDEX(products!$A$1:$G$49, MATCH(orders!$D563, products!$A$1:$A$49, 0), MATCH(orders!J$1, products!$A$1:$G$1, 0))</f>
        <v>D</v>
      </c>
      <c r="K563" s="4">
        <f>INDEX(products!$A$1:$G$49, MATCH(orders!$D563, products!$A$1:$A$49, 0), MATCH(orders!K$1, products!$A$1:$G$1, 0))</f>
        <v>0.2</v>
      </c>
      <c r="L563" s="5">
        <f>INDEX(products!$A$1:$G$49, MATCH(orders!$D563, products!$A$1:$A$49, 0), MATCH(orders!L$1, products!$A$1:$G$1, 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 MATCH(orders!$D564, products!$A$1:$A$49, 0), MATCH(orders!I$1, products!$A$1:$G$1, 0))</f>
        <v>Lib</v>
      </c>
      <c r="J564" t="str">
        <f>INDEX(products!$A$1:$G$49, MATCH(orders!$D564, products!$A$1:$A$49, 0), MATCH(orders!J$1, products!$A$1:$G$1, 0))</f>
        <v>L</v>
      </c>
      <c r="K564" s="4">
        <f>INDEX(products!$A$1:$G$49, MATCH(orders!$D564, products!$A$1:$A$49, 0), MATCH(orders!K$1, products!$A$1:$G$1, 0))</f>
        <v>0.2</v>
      </c>
      <c r="L564" s="5">
        <f>INDEX(products!$A$1:$G$49, MATCH(orders!$D564, products!$A$1:$A$49, 0), MATCH(orders!L$1, products!$A$1:$G$1, 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 MATCH(orders!$D565, products!$A$1:$A$49, 0), MATCH(orders!I$1, products!$A$1:$G$1, 0))</f>
        <v>Exc</v>
      </c>
      <c r="J565" t="str">
        <f>INDEX(products!$A$1:$G$49, MATCH(orders!$D565, products!$A$1:$A$49, 0), MATCH(orders!J$1, products!$A$1:$G$1, 0))</f>
        <v>M</v>
      </c>
      <c r="K565" s="4">
        <f>INDEX(products!$A$1:$G$49, MATCH(orders!$D565, products!$A$1:$A$49, 0), MATCH(orders!K$1, products!$A$1:$G$1, 0))</f>
        <v>1</v>
      </c>
      <c r="L565" s="5">
        <f>INDEX(products!$A$1:$G$49, MATCH(orders!$D565, products!$A$1:$A$49, 0), MATCH(orders!L$1, products!$A$1:$G$1, 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 MATCH(orders!$D566, products!$A$1:$A$49, 0), MATCH(orders!I$1, products!$A$1:$G$1, 0))</f>
        <v>Rob</v>
      </c>
      <c r="J566" t="str">
        <f>INDEX(products!$A$1:$G$49, MATCH(orders!$D566, products!$A$1:$A$49, 0), MATCH(orders!J$1, products!$A$1:$G$1, 0))</f>
        <v>L</v>
      </c>
      <c r="K566" s="4">
        <f>INDEX(products!$A$1:$G$49, MATCH(orders!$D566, products!$A$1:$A$49, 0), MATCH(orders!K$1, products!$A$1:$G$1, 0))</f>
        <v>0.5</v>
      </c>
      <c r="L566" s="5">
        <f>INDEX(products!$A$1:$G$49, MATCH(orders!$D566, products!$A$1:$A$49, 0), MATCH(orders!L$1, products!$A$1:$G$1, 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 MATCH(orders!$D567, products!$A$1:$A$49, 0), MATCH(orders!I$1, products!$A$1:$G$1, 0))</f>
        <v>Rob</v>
      </c>
      <c r="J567" t="str">
        <f>INDEX(products!$A$1:$G$49, MATCH(orders!$D567, products!$A$1:$A$49, 0), MATCH(orders!J$1, products!$A$1:$G$1, 0))</f>
        <v>D</v>
      </c>
      <c r="K567" s="4">
        <f>INDEX(products!$A$1:$G$49, MATCH(orders!$D567, products!$A$1:$A$49, 0), MATCH(orders!K$1, products!$A$1:$G$1, 0))</f>
        <v>2.5</v>
      </c>
      <c r="L567" s="5">
        <f>INDEX(products!$A$1:$G$49, MATCH(orders!$D567, products!$A$1:$A$49, 0), MATCH(orders!L$1, products!$A$1:$G$1, 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 MATCH(orders!$D568, products!$A$1:$A$49, 0), MATCH(orders!I$1, products!$A$1:$G$1, 0))</f>
        <v>Ara</v>
      </c>
      <c r="J568" t="str">
        <f>INDEX(products!$A$1:$G$49, MATCH(orders!$D568, products!$A$1:$A$49, 0), MATCH(orders!J$1, products!$A$1:$G$1, 0))</f>
        <v>M</v>
      </c>
      <c r="K568" s="4">
        <f>INDEX(products!$A$1:$G$49, MATCH(orders!$D568, products!$A$1:$A$49, 0), MATCH(orders!K$1, products!$A$1:$G$1, 0))</f>
        <v>0.2</v>
      </c>
      <c r="L568" s="5">
        <f>INDEX(products!$A$1:$G$49, MATCH(orders!$D568, products!$A$1:$A$49, 0), MATCH(orders!L$1, products!$A$1:$G$1, 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 MATCH(orders!$D569, products!$A$1:$A$49, 0), MATCH(orders!I$1, products!$A$1:$G$1, 0))</f>
        <v>Rob</v>
      </c>
      <c r="J569" t="str">
        <f>INDEX(products!$A$1:$G$49, MATCH(orders!$D569, products!$A$1:$A$49, 0), MATCH(orders!J$1, products!$A$1:$G$1, 0))</f>
        <v>L</v>
      </c>
      <c r="K569" s="4">
        <f>INDEX(products!$A$1:$G$49, MATCH(orders!$D569, products!$A$1:$A$49, 0), MATCH(orders!K$1, products!$A$1:$G$1, 0))</f>
        <v>2.5</v>
      </c>
      <c r="L569" s="5">
        <f>INDEX(products!$A$1:$G$49, MATCH(orders!$D569, products!$A$1:$A$49, 0), MATCH(orders!L$1, products!$A$1:$G$1, 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 MATCH(orders!$D570, products!$A$1:$A$49, 0), MATCH(orders!I$1, products!$A$1:$G$1, 0))</f>
        <v>Lib</v>
      </c>
      <c r="J570" t="str">
        <f>INDEX(products!$A$1:$G$49, MATCH(orders!$D570, products!$A$1:$A$49, 0), MATCH(orders!J$1, products!$A$1:$G$1, 0))</f>
        <v>L</v>
      </c>
      <c r="K570" s="4">
        <f>INDEX(products!$A$1:$G$49, MATCH(orders!$D570, products!$A$1:$A$49, 0), MATCH(orders!K$1, products!$A$1:$G$1, 0))</f>
        <v>0.2</v>
      </c>
      <c r="L570" s="5">
        <f>INDEX(products!$A$1:$G$49, MATCH(orders!$D570, products!$A$1:$A$49, 0), MATCH(orders!L$1, products!$A$1:$G$1, 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 MATCH(orders!$D571, products!$A$1:$A$49, 0), MATCH(orders!I$1, products!$A$1:$G$1, 0))</f>
        <v>Ara</v>
      </c>
      <c r="J571" t="str">
        <f>INDEX(products!$A$1:$G$49, MATCH(orders!$D571, products!$A$1:$A$49, 0), MATCH(orders!J$1, products!$A$1:$G$1, 0))</f>
        <v>D</v>
      </c>
      <c r="K571" s="4">
        <f>INDEX(products!$A$1:$G$49, MATCH(orders!$D571, products!$A$1:$A$49, 0), MATCH(orders!K$1, products!$A$1:$G$1, 0))</f>
        <v>2.5</v>
      </c>
      <c r="L571" s="5">
        <f>INDEX(products!$A$1:$G$49, MATCH(orders!$D571, products!$A$1:$A$49, 0), MATCH(orders!L$1, products!$A$1:$G$1, 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 MATCH(orders!$D572, products!$A$1:$A$49, 0), MATCH(orders!I$1, products!$A$1:$G$1, 0))</f>
        <v>Ara</v>
      </c>
      <c r="J572" t="str">
        <f>INDEX(products!$A$1:$G$49, MATCH(orders!$D572, products!$A$1:$A$49, 0), MATCH(orders!J$1, products!$A$1:$G$1, 0))</f>
        <v>M</v>
      </c>
      <c r="K572" s="4">
        <f>INDEX(products!$A$1:$G$49, MATCH(orders!$D572, products!$A$1:$A$49, 0), MATCH(orders!K$1, products!$A$1:$G$1, 0))</f>
        <v>0.5</v>
      </c>
      <c r="L572" s="5">
        <f>INDEX(products!$A$1:$G$49, MATCH(orders!$D572, products!$A$1:$A$49, 0), MATCH(orders!L$1, products!$A$1:$G$1, 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 MATCH(orders!$D573, products!$A$1:$A$49, 0), MATCH(orders!I$1, products!$A$1:$G$1, 0))</f>
        <v>Exc</v>
      </c>
      <c r="J573" t="str">
        <f>INDEX(products!$A$1:$G$49, MATCH(orders!$D573, products!$A$1:$A$49, 0), MATCH(orders!J$1, products!$A$1:$G$1, 0))</f>
        <v>L</v>
      </c>
      <c r="K573" s="4">
        <f>INDEX(products!$A$1:$G$49, MATCH(orders!$D573, products!$A$1:$A$49, 0), MATCH(orders!K$1, products!$A$1:$G$1, 0))</f>
        <v>0.5</v>
      </c>
      <c r="L573" s="5">
        <f>INDEX(products!$A$1:$G$49, MATCH(orders!$D573, products!$A$1:$A$49, 0), MATCH(orders!L$1, products!$A$1:$G$1, 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 MATCH(orders!$D574, products!$A$1:$A$49, 0), MATCH(orders!I$1, products!$A$1:$G$1, 0))</f>
        <v>Ara</v>
      </c>
      <c r="J574" t="str">
        <f>INDEX(products!$A$1:$G$49, MATCH(orders!$D574, products!$A$1:$A$49, 0), MATCH(orders!J$1, products!$A$1:$G$1, 0))</f>
        <v>D</v>
      </c>
      <c r="K574" s="4">
        <f>INDEX(products!$A$1:$G$49, MATCH(orders!$D574, products!$A$1:$A$49, 0), MATCH(orders!K$1, products!$A$1:$G$1, 0))</f>
        <v>0.2</v>
      </c>
      <c r="L574" s="5">
        <f>INDEX(products!$A$1:$G$49, MATCH(orders!$D574, products!$A$1:$A$49, 0), MATCH(orders!L$1, products!$A$1:$G$1, 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 MATCH(orders!$D575, products!$A$1:$A$49, 0), MATCH(orders!I$1, products!$A$1:$G$1, 0))</f>
        <v>Ara</v>
      </c>
      <c r="J575" t="str">
        <f>INDEX(products!$A$1:$G$49, MATCH(orders!$D575, products!$A$1:$A$49, 0), MATCH(orders!J$1, products!$A$1:$G$1, 0))</f>
        <v>M</v>
      </c>
      <c r="K575" s="4">
        <f>INDEX(products!$A$1:$G$49, MATCH(orders!$D575, products!$A$1:$A$49, 0), MATCH(orders!K$1, products!$A$1:$G$1, 0))</f>
        <v>1</v>
      </c>
      <c r="L575" s="5">
        <f>INDEX(products!$A$1:$G$49, MATCH(orders!$D575, products!$A$1:$A$49, 0), MATCH(orders!L$1, products!$A$1:$G$1, 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 MATCH(orders!$D576, products!$A$1:$A$49, 0), MATCH(orders!I$1, products!$A$1:$G$1, 0))</f>
        <v>Rob</v>
      </c>
      <c r="J576" t="str">
        <f>INDEX(products!$A$1:$G$49, MATCH(orders!$D576, products!$A$1:$A$49, 0), MATCH(orders!J$1, products!$A$1:$G$1, 0))</f>
        <v>L</v>
      </c>
      <c r="K576" s="4">
        <f>INDEX(products!$A$1:$G$49, MATCH(orders!$D576, products!$A$1:$A$49, 0), MATCH(orders!K$1, products!$A$1:$G$1, 0))</f>
        <v>0.2</v>
      </c>
      <c r="L576" s="5">
        <f>INDEX(products!$A$1:$G$49, MATCH(orders!$D576, products!$A$1:$A$49, 0), MATCH(orders!L$1, products!$A$1:$G$1, 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 MATCH(orders!$D577, products!$A$1:$A$49, 0), MATCH(orders!I$1, products!$A$1:$G$1, 0))</f>
        <v>Lib</v>
      </c>
      <c r="J577" t="str">
        <f>INDEX(products!$A$1:$G$49, MATCH(orders!$D577, products!$A$1:$A$49, 0), MATCH(orders!J$1, products!$A$1:$G$1, 0))</f>
        <v>M</v>
      </c>
      <c r="K577" s="4">
        <f>INDEX(products!$A$1:$G$49, MATCH(orders!$D577, products!$A$1:$A$49, 0), MATCH(orders!K$1, products!$A$1:$G$1, 0))</f>
        <v>2.5</v>
      </c>
      <c r="L577" s="5">
        <f>INDEX(products!$A$1:$G$49, MATCH(orders!$D577, products!$A$1:$A$49, 0), MATCH(orders!L$1, products!$A$1:$G$1, 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 MATCH(orders!$D578, products!$A$1:$A$49, 0), MATCH(orders!I$1, products!$A$1:$G$1, 0))</f>
        <v>Ara</v>
      </c>
      <c r="J578" t="str">
        <f>INDEX(products!$A$1:$G$49, MATCH(orders!$D578, products!$A$1:$A$49, 0), MATCH(orders!J$1, products!$A$1:$G$1, 0))</f>
        <v>D</v>
      </c>
      <c r="K578" s="4">
        <f>INDEX(products!$A$1:$G$49, MATCH(orders!$D578, products!$A$1:$A$49, 0), MATCH(orders!K$1, products!$A$1:$G$1, 0))</f>
        <v>0.2</v>
      </c>
      <c r="L578" s="5">
        <f>INDEX(products!$A$1:$G$49, MATCH(orders!$D578, products!$A$1:$A$49, 0), MATCH(orders!L$1, products!$A$1:$G$1, 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 MATCH(orders!$D579, products!$A$1:$A$49, 0), MATCH(orders!I$1, products!$A$1:$G$1, 0))</f>
        <v>Lib</v>
      </c>
      <c r="J579" t="str">
        <f>INDEX(products!$A$1:$G$49, MATCH(orders!$D579, products!$A$1:$A$49, 0), MATCH(orders!J$1, products!$A$1:$G$1, 0))</f>
        <v>M</v>
      </c>
      <c r="K579" s="4">
        <f>INDEX(products!$A$1:$G$49, MATCH(orders!$D579, products!$A$1:$A$49, 0), MATCH(orders!K$1, products!$A$1:$G$1, 0))</f>
        <v>1</v>
      </c>
      <c r="L579" s="5">
        <f>INDEX(products!$A$1:$G$49, MATCH(orders!$D579, products!$A$1:$A$49, 0), MATCH(orders!L$1, products!$A$1:$G$1, 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 MATCH(orders!$D580, products!$A$1:$A$49, 0), MATCH(orders!I$1, products!$A$1:$G$1, 0))</f>
        <v>Exc</v>
      </c>
      <c r="J580" t="str">
        <f>INDEX(products!$A$1:$G$49, MATCH(orders!$D580, products!$A$1:$A$49, 0), MATCH(orders!J$1, products!$A$1:$G$1, 0))</f>
        <v>L</v>
      </c>
      <c r="K580" s="4">
        <f>INDEX(products!$A$1:$G$49, MATCH(orders!$D580, products!$A$1:$A$49, 0), MATCH(orders!K$1, products!$A$1:$G$1, 0))</f>
        <v>0.2</v>
      </c>
      <c r="L580" s="5">
        <f>INDEX(products!$A$1:$G$49, MATCH(orders!$D580, products!$A$1:$A$49, 0), MATCH(orders!L$1, products!$A$1:$G$1, 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 MATCH(orders!$D581, products!$A$1:$A$49, 0), MATCH(orders!I$1, products!$A$1:$G$1, 0))</f>
        <v>Ara</v>
      </c>
      <c r="J581" t="str">
        <f>INDEX(products!$A$1:$G$49, MATCH(orders!$D581, products!$A$1:$A$49, 0), MATCH(orders!J$1, products!$A$1:$G$1, 0))</f>
        <v>M</v>
      </c>
      <c r="K581" s="4">
        <f>INDEX(products!$A$1:$G$49, MATCH(orders!$D581, products!$A$1:$A$49, 0), MATCH(orders!K$1, products!$A$1:$G$1, 0))</f>
        <v>0.5</v>
      </c>
      <c r="L581" s="5">
        <f>INDEX(products!$A$1:$G$49, MATCH(orders!$D581, products!$A$1:$A$49, 0), MATCH(orders!L$1, products!$A$1:$G$1, 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 MATCH(orders!$D582, products!$A$1:$A$49, 0), MATCH(orders!I$1, products!$A$1:$G$1, 0))</f>
        <v>Exc</v>
      </c>
      <c r="J582" t="str">
        <f>INDEX(products!$A$1:$G$49, MATCH(orders!$D582, products!$A$1:$A$49, 0), MATCH(orders!J$1, products!$A$1:$G$1, 0))</f>
        <v>L</v>
      </c>
      <c r="K582" s="4">
        <f>INDEX(products!$A$1:$G$49, MATCH(orders!$D582, products!$A$1:$A$49, 0), MATCH(orders!K$1, products!$A$1:$G$1, 0))</f>
        <v>1</v>
      </c>
      <c r="L582" s="5">
        <f>INDEX(products!$A$1:$G$49, MATCH(orders!$D582, products!$A$1:$A$49, 0), MATCH(orders!L$1, products!$A$1:$G$1, 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 MATCH(orders!$D583, products!$A$1:$A$49, 0), MATCH(orders!I$1, products!$A$1:$G$1, 0))</f>
        <v>Exc</v>
      </c>
      <c r="J583" t="str">
        <f>INDEX(products!$A$1:$G$49, MATCH(orders!$D583, products!$A$1:$A$49, 0), MATCH(orders!J$1, products!$A$1:$G$1, 0))</f>
        <v>L</v>
      </c>
      <c r="K583" s="4">
        <f>INDEX(products!$A$1:$G$49, MATCH(orders!$D583, products!$A$1:$A$49, 0), MATCH(orders!K$1, products!$A$1:$G$1, 0))</f>
        <v>0.5</v>
      </c>
      <c r="L583" s="5">
        <f>INDEX(products!$A$1:$G$49, MATCH(orders!$D583, products!$A$1:$A$49, 0), MATCH(orders!L$1, products!$A$1:$G$1, 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 MATCH(orders!$D584, products!$A$1:$A$49, 0), MATCH(orders!I$1, products!$A$1:$G$1, 0))</f>
        <v>Exc</v>
      </c>
      <c r="J584" t="str">
        <f>INDEX(products!$A$1:$G$49, MATCH(orders!$D584, products!$A$1:$A$49, 0), MATCH(orders!J$1, products!$A$1:$G$1, 0))</f>
        <v>D</v>
      </c>
      <c r="K584" s="4">
        <f>INDEX(products!$A$1:$G$49, MATCH(orders!$D584, products!$A$1:$A$49, 0), MATCH(orders!K$1, products!$A$1:$G$1, 0))</f>
        <v>1</v>
      </c>
      <c r="L584" s="5">
        <f>INDEX(products!$A$1:$G$49, MATCH(orders!$D584, products!$A$1:$A$49, 0), MATCH(orders!L$1, products!$A$1:$G$1, 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 MATCH(orders!$D585, products!$A$1:$A$49, 0), MATCH(orders!I$1, products!$A$1:$G$1, 0))</f>
        <v>Rob</v>
      </c>
      <c r="J585" t="str">
        <f>INDEX(products!$A$1:$G$49, MATCH(orders!$D585, products!$A$1:$A$49, 0), MATCH(orders!J$1, products!$A$1:$G$1, 0))</f>
        <v>L</v>
      </c>
      <c r="K585" s="4">
        <f>INDEX(products!$A$1:$G$49, MATCH(orders!$D585, products!$A$1:$A$49, 0), MATCH(orders!K$1, products!$A$1:$G$1, 0))</f>
        <v>0.2</v>
      </c>
      <c r="L585" s="5">
        <f>INDEX(products!$A$1:$G$49, MATCH(orders!$D585, products!$A$1:$A$49, 0), MATCH(orders!L$1, products!$A$1:$G$1, 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 MATCH(orders!$D586, products!$A$1:$A$49, 0), MATCH(orders!I$1, products!$A$1:$G$1, 0))</f>
        <v>Rob</v>
      </c>
      <c r="J586" t="str">
        <f>INDEX(products!$A$1:$G$49, MATCH(orders!$D586, products!$A$1:$A$49, 0), MATCH(orders!J$1, products!$A$1:$G$1, 0))</f>
        <v>L</v>
      </c>
      <c r="K586" s="4">
        <f>INDEX(products!$A$1:$G$49, MATCH(orders!$D586, products!$A$1:$A$49, 0), MATCH(orders!K$1, products!$A$1:$G$1, 0))</f>
        <v>0.2</v>
      </c>
      <c r="L586" s="5">
        <f>INDEX(products!$A$1:$G$49, MATCH(orders!$D586, products!$A$1:$A$49, 0), MATCH(orders!L$1, products!$A$1:$G$1, 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 MATCH(orders!$D587, products!$A$1:$A$49, 0), MATCH(orders!I$1, products!$A$1:$G$1, 0))</f>
        <v>Exc</v>
      </c>
      <c r="J587" t="str">
        <f>INDEX(products!$A$1:$G$49, MATCH(orders!$D587, products!$A$1:$A$49, 0), MATCH(orders!J$1, products!$A$1:$G$1, 0))</f>
        <v>M</v>
      </c>
      <c r="K587" s="4">
        <f>INDEX(products!$A$1:$G$49, MATCH(orders!$D587, products!$A$1:$A$49, 0), MATCH(orders!K$1, products!$A$1:$G$1, 0))</f>
        <v>0.5</v>
      </c>
      <c r="L587" s="5">
        <f>INDEX(products!$A$1:$G$49, MATCH(orders!$D587, products!$A$1:$A$49, 0), MATCH(orders!L$1, products!$A$1:$G$1, 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 MATCH(orders!$D588, products!$A$1:$A$49, 0), MATCH(orders!I$1, products!$A$1:$G$1, 0))</f>
        <v>Rob</v>
      </c>
      <c r="J588" t="str">
        <f>INDEX(products!$A$1:$G$49, MATCH(orders!$D588, products!$A$1:$A$49, 0), MATCH(orders!J$1, products!$A$1:$G$1, 0))</f>
        <v>L</v>
      </c>
      <c r="K588" s="4">
        <f>INDEX(products!$A$1:$G$49, MATCH(orders!$D588, products!$A$1:$A$49, 0), MATCH(orders!K$1, products!$A$1:$G$1, 0))</f>
        <v>2.5</v>
      </c>
      <c r="L588" s="5">
        <f>INDEX(products!$A$1:$G$49, MATCH(orders!$D588, products!$A$1:$A$49, 0), MATCH(orders!L$1, products!$A$1:$G$1, 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 MATCH(orders!$D589, products!$A$1:$A$49, 0), MATCH(orders!I$1, products!$A$1:$G$1, 0))</f>
        <v>Lib</v>
      </c>
      <c r="J589" t="str">
        <f>INDEX(products!$A$1:$G$49, MATCH(orders!$D589, products!$A$1:$A$49, 0), MATCH(orders!J$1, products!$A$1:$G$1, 0))</f>
        <v>D</v>
      </c>
      <c r="K589" s="4">
        <f>INDEX(products!$A$1:$G$49, MATCH(orders!$D589, products!$A$1:$A$49, 0), MATCH(orders!K$1, products!$A$1:$G$1, 0))</f>
        <v>0.5</v>
      </c>
      <c r="L589" s="5">
        <f>INDEX(products!$A$1:$G$49, MATCH(orders!$D589, products!$A$1:$A$49, 0), MATCH(orders!L$1, products!$A$1:$G$1, 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 MATCH(orders!$D590, products!$A$1:$A$49, 0), MATCH(orders!I$1, products!$A$1:$G$1, 0))</f>
        <v>Rob</v>
      </c>
      <c r="J590" t="str">
        <f>INDEX(products!$A$1:$G$49, MATCH(orders!$D590, products!$A$1:$A$49, 0), MATCH(orders!J$1, products!$A$1:$G$1, 0))</f>
        <v>M</v>
      </c>
      <c r="K590" s="4">
        <f>INDEX(products!$A$1:$G$49, MATCH(orders!$D590, products!$A$1:$A$49, 0), MATCH(orders!K$1, products!$A$1:$G$1, 0))</f>
        <v>0.5</v>
      </c>
      <c r="L590" s="5">
        <f>INDEX(products!$A$1:$G$49, MATCH(orders!$D590, products!$A$1:$A$49, 0), MATCH(orders!L$1, products!$A$1:$G$1, 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 MATCH(orders!$D591, products!$A$1:$A$49, 0), MATCH(orders!I$1, products!$A$1:$G$1, 0))</f>
        <v>Exc</v>
      </c>
      <c r="J591" t="str">
        <f>INDEX(products!$A$1:$G$49, MATCH(orders!$D591, products!$A$1:$A$49, 0), MATCH(orders!J$1, products!$A$1:$G$1, 0))</f>
        <v>L</v>
      </c>
      <c r="K591" s="4">
        <f>INDEX(products!$A$1:$G$49, MATCH(orders!$D591, products!$A$1:$A$49, 0), MATCH(orders!K$1, products!$A$1:$G$1, 0))</f>
        <v>2.5</v>
      </c>
      <c r="L591" s="5">
        <f>INDEX(products!$A$1:$G$49, MATCH(orders!$D591, products!$A$1:$A$49, 0), MATCH(orders!L$1, products!$A$1:$G$1, 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 MATCH(orders!$D592, products!$A$1:$A$49, 0), MATCH(orders!I$1, products!$A$1:$G$1, 0))</f>
        <v>Exc</v>
      </c>
      <c r="J592" t="str">
        <f>INDEX(products!$A$1:$G$49, MATCH(orders!$D592, products!$A$1:$A$49, 0), MATCH(orders!J$1, products!$A$1:$G$1, 0))</f>
        <v>M</v>
      </c>
      <c r="K592" s="4">
        <f>INDEX(products!$A$1:$G$49, MATCH(orders!$D592, products!$A$1:$A$49, 0), MATCH(orders!K$1, products!$A$1:$G$1, 0))</f>
        <v>2.5</v>
      </c>
      <c r="L592" s="5">
        <f>INDEX(products!$A$1:$G$49, MATCH(orders!$D592, products!$A$1:$A$49, 0), MATCH(orders!L$1, products!$A$1:$G$1, 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 MATCH(orders!$D593, products!$A$1:$A$49, 0), MATCH(orders!I$1, products!$A$1:$G$1, 0))</f>
        <v>Rob</v>
      </c>
      <c r="J593" t="str">
        <f>INDEX(products!$A$1:$G$49, MATCH(orders!$D593, products!$A$1:$A$49, 0), MATCH(orders!J$1, products!$A$1:$G$1, 0))</f>
        <v>D</v>
      </c>
      <c r="K593" s="4">
        <f>INDEX(products!$A$1:$G$49, MATCH(orders!$D593, products!$A$1:$A$49, 0), MATCH(orders!K$1, products!$A$1:$G$1, 0))</f>
        <v>0.2</v>
      </c>
      <c r="L593" s="5">
        <f>INDEX(products!$A$1:$G$49, MATCH(orders!$D593, products!$A$1:$A$49, 0), MATCH(orders!L$1, products!$A$1:$G$1, 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 MATCH(orders!$D594, products!$A$1:$A$49, 0), MATCH(orders!I$1, products!$A$1:$G$1, 0))</f>
        <v>Ara</v>
      </c>
      <c r="J594" t="str">
        <f>INDEX(products!$A$1:$G$49, MATCH(orders!$D594, products!$A$1:$A$49, 0), MATCH(orders!J$1, products!$A$1:$G$1, 0))</f>
        <v>M</v>
      </c>
      <c r="K594" s="4">
        <f>INDEX(products!$A$1:$G$49, MATCH(orders!$D594, products!$A$1:$A$49, 0), MATCH(orders!K$1, products!$A$1:$G$1, 0))</f>
        <v>2.5</v>
      </c>
      <c r="L594" s="5">
        <f>INDEX(products!$A$1:$G$49, MATCH(orders!$D594, products!$A$1:$A$49, 0), MATCH(orders!L$1, products!$A$1:$G$1, 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 MATCH(orders!$D595, products!$A$1:$A$49, 0), MATCH(orders!I$1, products!$A$1:$G$1, 0))</f>
        <v>Exc</v>
      </c>
      <c r="J595" t="str">
        <f>INDEX(products!$A$1:$G$49, MATCH(orders!$D595, products!$A$1:$A$49, 0), MATCH(orders!J$1, products!$A$1:$G$1, 0))</f>
        <v>D</v>
      </c>
      <c r="K595" s="4">
        <f>INDEX(products!$A$1:$G$49, MATCH(orders!$D595, products!$A$1:$A$49, 0), MATCH(orders!K$1, products!$A$1:$G$1, 0))</f>
        <v>2.5</v>
      </c>
      <c r="L595" s="5">
        <f>INDEX(products!$A$1:$G$49, MATCH(orders!$D595, products!$A$1:$A$49, 0), MATCH(orders!L$1, products!$A$1:$G$1, 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 MATCH(orders!$D596, products!$A$1:$A$49, 0), MATCH(orders!I$1, products!$A$1:$G$1, 0))</f>
        <v>Ara</v>
      </c>
      <c r="J596" t="str">
        <f>INDEX(products!$A$1:$G$49, MATCH(orders!$D596, products!$A$1:$A$49, 0), MATCH(orders!J$1, products!$A$1:$G$1, 0))</f>
        <v>L</v>
      </c>
      <c r="K596" s="4">
        <f>INDEX(products!$A$1:$G$49, MATCH(orders!$D596, products!$A$1:$A$49, 0), MATCH(orders!K$1, products!$A$1:$G$1, 0))</f>
        <v>2.5</v>
      </c>
      <c r="L596" s="5">
        <f>INDEX(products!$A$1:$G$49, MATCH(orders!$D596, products!$A$1:$A$49, 0), MATCH(orders!L$1, products!$A$1:$G$1, 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 MATCH(orders!$D597, products!$A$1:$A$49, 0), MATCH(orders!I$1, products!$A$1:$G$1, 0))</f>
        <v>Exc</v>
      </c>
      <c r="J597" t="str">
        <f>INDEX(products!$A$1:$G$49, MATCH(orders!$D597, products!$A$1:$A$49, 0), MATCH(orders!J$1, products!$A$1:$G$1, 0))</f>
        <v>L</v>
      </c>
      <c r="K597" s="4">
        <f>INDEX(products!$A$1:$G$49, MATCH(orders!$D597, products!$A$1:$A$49, 0), MATCH(orders!K$1, products!$A$1:$G$1, 0))</f>
        <v>1</v>
      </c>
      <c r="L597" s="5">
        <f>INDEX(products!$A$1:$G$49, MATCH(orders!$D597, products!$A$1:$A$49, 0), MATCH(orders!L$1, products!$A$1:$G$1, 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 MATCH(orders!$D598, products!$A$1:$A$49, 0), MATCH(orders!I$1, products!$A$1:$G$1, 0))</f>
        <v>Ara</v>
      </c>
      <c r="J598" t="str">
        <f>INDEX(products!$A$1:$G$49, MATCH(orders!$D598, products!$A$1:$A$49, 0), MATCH(orders!J$1, products!$A$1:$G$1, 0))</f>
        <v>M</v>
      </c>
      <c r="K598" s="4">
        <f>INDEX(products!$A$1:$G$49, MATCH(orders!$D598, products!$A$1:$A$49, 0), MATCH(orders!K$1, products!$A$1:$G$1, 0))</f>
        <v>0.5</v>
      </c>
      <c r="L598" s="5">
        <f>INDEX(products!$A$1:$G$49, MATCH(orders!$D598, products!$A$1:$A$49, 0), MATCH(orders!L$1, products!$A$1:$G$1, 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 MATCH(orders!$D599, products!$A$1:$A$49, 0), MATCH(orders!I$1, products!$A$1:$G$1, 0))</f>
        <v>Lib</v>
      </c>
      <c r="J599" t="str">
        <f>INDEX(products!$A$1:$G$49, MATCH(orders!$D599, products!$A$1:$A$49, 0), MATCH(orders!J$1, products!$A$1:$G$1, 0))</f>
        <v>L</v>
      </c>
      <c r="K599" s="4">
        <f>INDEX(products!$A$1:$G$49, MATCH(orders!$D599, products!$A$1:$A$49, 0), MATCH(orders!K$1, products!$A$1:$G$1, 0))</f>
        <v>2.5</v>
      </c>
      <c r="L599" s="5">
        <f>INDEX(products!$A$1:$G$49, MATCH(orders!$D599, products!$A$1:$A$49, 0), MATCH(orders!L$1, products!$A$1:$G$1, 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 MATCH(orders!$D600, products!$A$1:$A$49, 0), MATCH(orders!I$1, products!$A$1:$G$1, 0))</f>
        <v>Rob</v>
      </c>
      <c r="J600" t="str">
        <f>INDEX(products!$A$1:$G$49, MATCH(orders!$D600, products!$A$1:$A$49, 0), MATCH(orders!J$1, products!$A$1:$G$1, 0))</f>
        <v>M</v>
      </c>
      <c r="K600" s="4">
        <f>INDEX(products!$A$1:$G$49, MATCH(orders!$D600, products!$A$1:$A$49, 0), MATCH(orders!K$1, products!$A$1:$G$1, 0))</f>
        <v>0.2</v>
      </c>
      <c r="L600" s="5">
        <f>INDEX(products!$A$1:$G$49, MATCH(orders!$D600, products!$A$1:$A$49, 0), MATCH(orders!L$1, products!$A$1:$G$1, 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 MATCH(orders!$D601, products!$A$1:$A$49, 0), MATCH(orders!I$1, products!$A$1:$G$1, 0))</f>
        <v>Ara</v>
      </c>
      <c r="J601" t="str">
        <f>INDEX(products!$A$1:$G$49, MATCH(orders!$D601, products!$A$1:$A$49, 0), MATCH(orders!J$1, products!$A$1:$G$1, 0))</f>
        <v>D</v>
      </c>
      <c r="K601" s="4">
        <f>INDEX(products!$A$1:$G$49, MATCH(orders!$D601, products!$A$1:$A$49, 0), MATCH(orders!K$1, products!$A$1:$G$1, 0))</f>
        <v>0.2</v>
      </c>
      <c r="L601" s="5">
        <f>INDEX(products!$A$1:$G$49, MATCH(orders!$D601, products!$A$1:$A$49, 0), MATCH(orders!L$1, products!$A$1:$G$1, 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 MATCH(orders!$D602, products!$A$1:$A$49, 0), MATCH(orders!I$1, products!$A$1:$G$1, 0))</f>
        <v>Lib</v>
      </c>
      <c r="J602" t="str">
        <f>INDEX(products!$A$1:$G$49, MATCH(orders!$D602, products!$A$1:$A$49, 0), MATCH(orders!J$1, products!$A$1:$G$1, 0))</f>
        <v>D</v>
      </c>
      <c r="K602" s="4">
        <f>INDEX(products!$A$1:$G$49, MATCH(orders!$D602, products!$A$1:$A$49, 0), MATCH(orders!K$1, products!$A$1:$G$1, 0))</f>
        <v>0.5</v>
      </c>
      <c r="L602" s="5">
        <f>INDEX(products!$A$1:$G$49, MATCH(orders!$D602, products!$A$1:$A$49, 0), MATCH(orders!L$1, products!$A$1:$G$1, 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 MATCH(orders!$D603, products!$A$1:$A$49, 0), MATCH(orders!I$1, products!$A$1:$G$1, 0))</f>
        <v>Rob</v>
      </c>
      <c r="J603" t="str">
        <f>INDEX(products!$A$1:$G$49, MATCH(orders!$D603, products!$A$1:$A$49, 0), MATCH(orders!J$1, products!$A$1:$G$1, 0))</f>
        <v>L</v>
      </c>
      <c r="K603" s="4">
        <f>INDEX(products!$A$1:$G$49, MATCH(orders!$D603, products!$A$1:$A$49, 0), MATCH(orders!K$1, products!$A$1:$G$1, 0))</f>
        <v>2.5</v>
      </c>
      <c r="L603" s="5">
        <f>INDEX(products!$A$1:$G$49, MATCH(orders!$D603, products!$A$1:$A$49, 0), MATCH(orders!L$1, products!$A$1:$G$1, 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 MATCH(orders!$D604, products!$A$1:$A$49, 0), MATCH(orders!I$1, products!$A$1:$G$1, 0))</f>
        <v>Exc</v>
      </c>
      <c r="J604" t="str">
        <f>INDEX(products!$A$1:$G$49, MATCH(orders!$D604, products!$A$1:$A$49, 0), MATCH(orders!J$1, products!$A$1:$G$1, 0))</f>
        <v>L</v>
      </c>
      <c r="K604" s="4">
        <f>INDEX(products!$A$1:$G$49, MATCH(orders!$D604, products!$A$1:$A$49, 0), MATCH(orders!K$1, products!$A$1:$G$1, 0))</f>
        <v>0.2</v>
      </c>
      <c r="L604" s="5">
        <f>INDEX(products!$A$1:$G$49, MATCH(orders!$D604, products!$A$1:$A$49, 0), MATCH(orders!L$1, products!$A$1:$G$1, 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 MATCH(orders!$D605, products!$A$1:$A$49, 0), MATCH(orders!I$1, products!$A$1:$G$1, 0))</f>
        <v>Rob</v>
      </c>
      <c r="J605" t="str">
        <f>INDEX(products!$A$1:$G$49, MATCH(orders!$D605, products!$A$1:$A$49, 0), MATCH(orders!J$1, products!$A$1:$G$1, 0))</f>
        <v>M</v>
      </c>
      <c r="K605" s="4">
        <f>INDEX(products!$A$1:$G$49, MATCH(orders!$D605, products!$A$1:$A$49, 0), MATCH(orders!K$1, products!$A$1:$G$1, 0))</f>
        <v>0.2</v>
      </c>
      <c r="L605" s="5">
        <f>INDEX(products!$A$1:$G$49, MATCH(orders!$D605, products!$A$1:$A$49, 0), MATCH(orders!L$1, products!$A$1:$G$1, 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 MATCH(orders!$D606, products!$A$1:$A$49, 0), MATCH(orders!I$1, products!$A$1:$G$1, 0))</f>
        <v>Lib</v>
      </c>
      <c r="J606" t="str">
        <f>INDEX(products!$A$1:$G$49, MATCH(orders!$D606, products!$A$1:$A$49, 0), MATCH(orders!J$1, products!$A$1:$G$1, 0))</f>
        <v>D</v>
      </c>
      <c r="K606" s="4">
        <f>INDEX(products!$A$1:$G$49, MATCH(orders!$D606, products!$A$1:$A$49, 0), MATCH(orders!K$1, products!$A$1:$G$1, 0))</f>
        <v>2.5</v>
      </c>
      <c r="L606" s="5">
        <f>INDEX(products!$A$1:$G$49, MATCH(orders!$D606, products!$A$1:$A$49, 0), MATCH(orders!L$1, products!$A$1:$G$1, 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 MATCH(orders!$D607, products!$A$1:$A$49, 0), MATCH(orders!I$1, products!$A$1:$G$1, 0))</f>
        <v>Ara</v>
      </c>
      <c r="J607" t="str">
        <f>INDEX(products!$A$1:$G$49, MATCH(orders!$D607, products!$A$1:$A$49, 0), MATCH(orders!J$1, products!$A$1:$G$1, 0))</f>
        <v>L</v>
      </c>
      <c r="K607" s="4">
        <f>INDEX(products!$A$1:$G$49, MATCH(orders!$D607, products!$A$1:$A$49, 0), MATCH(orders!K$1, products!$A$1:$G$1, 0))</f>
        <v>2.5</v>
      </c>
      <c r="L607" s="5">
        <f>INDEX(products!$A$1:$G$49, MATCH(orders!$D607, products!$A$1:$A$49, 0), MATCH(orders!L$1, products!$A$1:$G$1, 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 MATCH(orders!$D608, products!$A$1:$A$49, 0), MATCH(orders!I$1, products!$A$1:$G$1, 0))</f>
        <v>Lib</v>
      </c>
      <c r="J608" t="str">
        <f>INDEX(products!$A$1:$G$49, MATCH(orders!$D608, products!$A$1:$A$49, 0), MATCH(orders!J$1, products!$A$1:$G$1, 0))</f>
        <v>L</v>
      </c>
      <c r="K608" s="4">
        <f>INDEX(products!$A$1:$G$49, MATCH(orders!$D608, products!$A$1:$A$49, 0), MATCH(orders!K$1, products!$A$1:$G$1, 0))</f>
        <v>2.5</v>
      </c>
      <c r="L608" s="5">
        <f>INDEX(products!$A$1:$G$49, MATCH(orders!$D608, products!$A$1:$A$49, 0), MATCH(orders!L$1, products!$A$1:$G$1, 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 MATCH(orders!$D609, products!$A$1:$A$49, 0), MATCH(orders!I$1, products!$A$1:$G$1, 0))</f>
        <v>Exc</v>
      </c>
      <c r="J609" t="str">
        <f>INDEX(products!$A$1:$G$49, MATCH(orders!$D609, products!$A$1:$A$49, 0), MATCH(orders!J$1, products!$A$1:$G$1, 0))</f>
        <v>D</v>
      </c>
      <c r="K609" s="4">
        <f>INDEX(products!$A$1:$G$49, MATCH(orders!$D609, products!$A$1:$A$49, 0), MATCH(orders!K$1, products!$A$1:$G$1, 0))</f>
        <v>0.2</v>
      </c>
      <c r="L609" s="5">
        <f>INDEX(products!$A$1:$G$49, MATCH(orders!$D609, products!$A$1:$A$49, 0), MATCH(orders!L$1, products!$A$1:$G$1, 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 MATCH(orders!$D610, products!$A$1:$A$49, 0), MATCH(orders!I$1, products!$A$1:$G$1, 0))</f>
        <v>Exc</v>
      </c>
      <c r="J610" t="str">
        <f>INDEX(products!$A$1:$G$49, MATCH(orders!$D610, products!$A$1:$A$49, 0), MATCH(orders!J$1, products!$A$1:$G$1, 0))</f>
        <v>D</v>
      </c>
      <c r="K610" s="4">
        <f>INDEX(products!$A$1:$G$49, MATCH(orders!$D610, products!$A$1:$A$49, 0), MATCH(orders!K$1, products!$A$1:$G$1, 0))</f>
        <v>2.5</v>
      </c>
      <c r="L610" s="5">
        <f>INDEX(products!$A$1:$G$49, MATCH(orders!$D610, products!$A$1:$A$49, 0), MATCH(orders!L$1, products!$A$1:$G$1, 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 MATCH(orders!$D611, products!$A$1:$A$49, 0), MATCH(orders!I$1, products!$A$1:$G$1, 0))</f>
        <v>Lib</v>
      </c>
      <c r="J611" t="str">
        <f>INDEX(products!$A$1:$G$49, MATCH(orders!$D611, products!$A$1:$A$49, 0), MATCH(orders!J$1, products!$A$1:$G$1, 0))</f>
        <v>M</v>
      </c>
      <c r="K611" s="4">
        <f>INDEX(products!$A$1:$G$49, MATCH(orders!$D611, products!$A$1:$A$49, 0), MATCH(orders!K$1, products!$A$1:$G$1, 0))</f>
        <v>0.2</v>
      </c>
      <c r="L611" s="5">
        <f>INDEX(products!$A$1:$G$49, MATCH(orders!$D611, products!$A$1:$A$49, 0), MATCH(orders!L$1, products!$A$1:$G$1, 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 MATCH(orders!$D612, products!$A$1:$A$49, 0), MATCH(orders!I$1, products!$A$1:$G$1, 0))</f>
        <v>Rob</v>
      </c>
      <c r="J612" t="str">
        <f>INDEX(products!$A$1:$G$49, MATCH(orders!$D612, products!$A$1:$A$49, 0), MATCH(orders!J$1, products!$A$1:$G$1, 0))</f>
        <v>M</v>
      </c>
      <c r="K612" s="4">
        <f>INDEX(products!$A$1:$G$49, MATCH(orders!$D612, products!$A$1:$A$49, 0), MATCH(orders!K$1, products!$A$1:$G$1, 0))</f>
        <v>1</v>
      </c>
      <c r="L612" s="5">
        <f>INDEX(products!$A$1:$G$49, MATCH(orders!$D612, products!$A$1:$A$49, 0), MATCH(orders!L$1, products!$A$1:$G$1, 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 MATCH(orders!$D613, products!$A$1:$A$49, 0), MATCH(orders!I$1, products!$A$1:$G$1, 0))</f>
        <v>Exc</v>
      </c>
      <c r="J613" t="str">
        <f>INDEX(products!$A$1:$G$49, MATCH(orders!$D613, products!$A$1:$A$49, 0), MATCH(orders!J$1, products!$A$1:$G$1, 0))</f>
        <v>L</v>
      </c>
      <c r="K613" s="4">
        <f>INDEX(products!$A$1:$G$49, MATCH(orders!$D613, products!$A$1:$A$49, 0), MATCH(orders!K$1, products!$A$1:$G$1, 0))</f>
        <v>2.5</v>
      </c>
      <c r="L613" s="5">
        <f>INDEX(products!$A$1:$G$49, MATCH(orders!$D613, products!$A$1:$A$49, 0), MATCH(orders!L$1, products!$A$1:$G$1, 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 MATCH(orders!$D614, products!$A$1:$A$49, 0), MATCH(orders!I$1, products!$A$1:$G$1, 0))</f>
        <v>Ara</v>
      </c>
      <c r="J614" t="str">
        <f>INDEX(products!$A$1:$G$49, MATCH(orders!$D614, products!$A$1:$A$49, 0), MATCH(orders!J$1, products!$A$1:$G$1, 0))</f>
        <v>M</v>
      </c>
      <c r="K614" s="4">
        <f>INDEX(products!$A$1:$G$49, MATCH(orders!$D614, products!$A$1:$A$49, 0), MATCH(orders!K$1, products!$A$1:$G$1, 0))</f>
        <v>0.2</v>
      </c>
      <c r="L614" s="5">
        <f>INDEX(products!$A$1:$G$49, MATCH(orders!$D614, products!$A$1:$A$49, 0), MATCH(orders!L$1, products!$A$1:$G$1, 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 MATCH(orders!$D615, products!$A$1:$A$49, 0), MATCH(orders!I$1, products!$A$1:$G$1, 0))</f>
        <v>Rob</v>
      </c>
      <c r="J615" t="str">
        <f>INDEX(products!$A$1:$G$49, MATCH(orders!$D615, products!$A$1:$A$49, 0), MATCH(orders!J$1, products!$A$1:$G$1, 0))</f>
        <v>M</v>
      </c>
      <c r="K615" s="4">
        <f>INDEX(products!$A$1:$G$49, MATCH(orders!$D615, products!$A$1:$A$49, 0), MATCH(orders!K$1, products!$A$1:$G$1, 0))</f>
        <v>0.5</v>
      </c>
      <c r="L615" s="5">
        <f>INDEX(products!$A$1:$G$49, MATCH(orders!$D615, products!$A$1:$A$49, 0), MATCH(orders!L$1, products!$A$1:$G$1, 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 MATCH(orders!$D616, products!$A$1:$A$49, 0), MATCH(orders!I$1, products!$A$1:$G$1, 0))</f>
        <v>Rob</v>
      </c>
      <c r="J616" t="str">
        <f>INDEX(products!$A$1:$G$49, MATCH(orders!$D616, products!$A$1:$A$49, 0), MATCH(orders!J$1, products!$A$1:$G$1, 0))</f>
        <v>M</v>
      </c>
      <c r="K616" s="4">
        <f>INDEX(products!$A$1:$G$49, MATCH(orders!$D616, products!$A$1:$A$49, 0), MATCH(orders!K$1, products!$A$1:$G$1, 0))</f>
        <v>0.5</v>
      </c>
      <c r="L616" s="5">
        <f>INDEX(products!$A$1:$G$49, MATCH(orders!$D616, products!$A$1:$A$49, 0), MATCH(orders!L$1, products!$A$1:$G$1, 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 MATCH(orders!$D617, products!$A$1:$A$49, 0), MATCH(orders!I$1, products!$A$1:$G$1, 0))</f>
        <v>Lib</v>
      </c>
      <c r="J617" t="str">
        <f>INDEX(products!$A$1:$G$49, MATCH(orders!$D617, products!$A$1:$A$49, 0), MATCH(orders!J$1, products!$A$1:$G$1, 0))</f>
        <v>L</v>
      </c>
      <c r="K617" s="4">
        <f>INDEX(products!$A$1:$G$49, MATCH(orders!$D617, products!$A$1:$A$49, 0), MATCH(orders!K$1, products!$A$1:$G$1, 0))</f>
        <v>2.5</v>
      </c>
      <c r="L617" s="5">
        <f>INDEX(products!$A$1:$G$49, MATCH(orders!$D617, products!$A$1:$A$49, 0), MATCH(orders!L$1, products!$A$1:$G$1, 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 MATCH(orders!$D618, products!$A$1:$A$49, 0), MATCH(orders!I$1, products!$A$1:$G$1, 0))</f>
        <v>Exc</v>
      </c>
      <c r="J618" t="str">
        <f>INDEX(products!$A$1:$G$49, MATCH(orders!$D618, products!$A$1:$A$49, 0), MATCH(orders!J$1, products!$A$1:$G$1, 0))</f>
        <v>M</v>
      </c>
      <c r="K618" s="4">
        <f>INDEX(products!$A$1:$G$49, MATCH(orders!$D618, products!$A$1:$A$49, 0), MATCH(orders!K$1, products!$A$1:$G$1, 0))</f>
        <v>2.5</v>
      </c>
      <c r="L618" s="5">
        <f>INDEX(products!$A$1:$G$49, MATCH(orders!$D618, products!$A$1:$A$49, 0), MATCH(orders!L$1, products!$A$1:$G$1, 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 MATCH(orders!$D619, products!$A$1:$A$49, 0), MATCH(orders!I$1, products!$A$1:$G$1, 0))</f>
        <v>Lib</v>
      </c>
      <c r="J619" t="str">
        <f>INDEX(products!$A$1:$G$49, MATCH(orders!$D619, products!$A$1:$A$49, 0), MATCH(orders!J$1, products!$A$1:$G$1, 0))</f>
        <v>M</v>
      </c>
      <c r="K619" s="4">
        <f>INDEX(products!$A$1:$G$49, MATCH(orders!$D619, products!$A$1:$A$49, 0), MATCH(orders!K$1, products!$A$1:$G$1, 0))</f>
        <v>2.5</v>
      </c>
      <c r="L619" s="5">
        <f>INDEX(products!$A$1:$G$49, MATCH(orders!$D619, products!$A$1:$A$49, 0), MATCH(orders!L$1, products!$A$1:$G$1, 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 MATCH(orders!$D620, products!$A$1:$A$49, 0), MATCH(orders!I$1, products!$A$1:$G$1, 0))</f>
        <v>Exc</v>
      </c>
      <c r="J620" t="str">
        <f>INDEX(products!$A$1:$G$49, MATCH(orders!$D620, products!$A$1:$A$49, 0), MATCH(orders!J$1, products!$A$1:$G$1, 0))</f>
        <v>D</v>
      </c>
      <c r="K620" s="4">
        <f>INDEX(products!$A$1:$G$49, MATCH(orders!$D620, products!$A$1:$A$49, 0), MATCH(orders!K$1, products!$A$1:$G$1, 0))</f>
        <v>1</v>
      </c>
      <c r="L620" s="5">
        <f>INDEX(products!$A$1:$G$49, MATCH(orders!$D620, products!$A$1:$A$49, 0), MATCH(orders!L$1, products!$A$1:$G$1, 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 MATCH(orders!$D621, products!$A$1:$A$49, 0), MATCH(orders!I$1, products!$A$1:$G$1, 0))</f>
        <v>Lib</v>
      </c>
      <c r="J621" t="str">
        <f>INDEX(products!$A$1:$G$49, MATCH(orders!$D621, products!$A$1:$A$49, 0), MATCH(orders!J$1, products!$A$1:$G$1, 0))</f>
        <v>D</v>
      </c>
      <c r="K621" s="4">
        <f>INDEX(products!$A$1:$G$49, MATCH(orders!$D621, products!$A$1:$A$49, 0), MATCH(orders!K$1, products!$A$1:$G$1, 0))</f>
        <v>0.5</v>
      </c>
      <c r="L621" s="5">
        <f>INDEX(products!$A$1:$G$49, MATCH(orders!$D621, products!$A$1:$A$49, 0), MATCH(orders!L$1, products!$A$1:$G$1, 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 MATCH(orders!$D622, products!$A$1:$A$49, 0), MATCH(orders!I$1, products!$A$1:$G$1, 0))</f>
        <v>Ara</v>
      </c>
      <c r="J622" t="str">
        <f>INDEX(products!$A$1:$G$49, MATCH(orders!$D622, products!$A$1:$A$49, 0), MATCH(orders!J$1, products!$A$1:$G$1, 0))</f>
        <v>M</v>
      </c>
      <c r="K622" s="4">
        <f>INDEX(products!$A$1:$G$49, MATCH(orders!$D622, products!$A$1:$A$49, 0), MATCH(orders!K$1, products!$A$1:$G$1, 0))</f>
        <v>0.2</v>
      </c>
      <c r="L622" s="5">
        <f>INDEX(products!$A$1:$G$49, MATCH(orders!$D622, products!$A$1:$A$49, 0), MATCH(orders!L$1, products!$A$1:$G$1, 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 MATCH(orders!$D623, products!$A$1:$A$49, 0), MATCH(orders!I$1, products!$A$1:$G$1, 0))</f>
        <v>Ara</v>
      </c>
      <c r="J623" t="str">
        <f>INDEX(products!$A$1:$G$49, MATCH(orders!$D623, products!$A$1:$A$49, 0), MATCH(orders!J$1, products!$A$1:$G$1, 0))</f>
        <v>L</v>
      </c>
      <c r="K623" s="4">
        <f>INDEX(products!$A$1:$G$49, MATCH(orders!$D623, products!$A$1:$A$49, 0), MATCH(orders!K$1, products!$A$1:$G$1, 0))</f>
        <v>1</v>
      </c>
      <c r="L623" s="5">
        <f>INDEX(products!$A$1:$G$49, MATCH(orders!$D623, products!$A$1:$A$49, 0), MATCH(orders!L$1, products!$A$1:$G$1, 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 MATCH(orders!$D624, products!$A$1:$A$49, 0), MATCH(orders!I$1, products!$A$1:$G$1, 0))</f>
        <v>Lib</v>
      </c>
      <c r="J624" t="str">
        <f>INDEX(products!$A$1:$G$49, MATCH(orders!$D624, products!$A$1:$A$49, 0), MATCH(orders!J$1, products!$A$1:$G$1, 0))</f>
        <v>M</v>
      </c>
      <c r="K624" s="4">
        <f>INDEX(products!$A$1:$G$49, MATCH(orders!$D624, products!$A$1:$A$49, 0), MATCH(orders!K$1, products!$A$1:$G$1, 0))</f>
        <v>2.5</v>
      </c>
      <c r="L624" s="5">
        <f>INDEX(products!$A$1:$G$49, MATCH(orders!$D624, products!$A$1:$A$49, 0), MATCH(orders!L$1, products!$A$1:$G$1, 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 MATCH(orders!$D625, products!$A$1:$A$49, 0), MATCH(orders!I$1, products!$A$1:$G$1, 0))</f>
        <v>Exc</v>
      </c>
      <c r="J625" t="str">
        <f>INDEX(products!$A$1:$G$49, MATCH(orders!$D625, products!$A$1:$A$49, 0), MATCH(orders!J$1, products!$A$1:$G$1, 0))</f>
        <v>D</v>
      </c>
      <c r="K625" s="4">
        <f>INDEX(products!$A$1:$G$49, MATCH(orders!$D625, products!$A$1:$A$49, 0), MATCH(orders!K$1, products!$A$1:$G$1, 0))</f>
        <v>1</v>
      </c>
      <c r="L625" s="5">
        <f>INDEX(products!$A$1:$G$49, MATCH(orders!$D625, products!$A$1:$A$49, 0), MATCH(orders!L$1, products!$A$1:$G$1, 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 MATCH(orders!$D626, products!$A$1:$A$49, 0), MATCH(orders!I$1, products!$A$1:$G$1, 0))</f>
        <v>Exc</v>
      </c>
      <c r="J626" t="str">
        <f>INDEX(products!$A$1:$G$49, MATCH(orders!$D626, products!$A$1:$A$49, 0), MATCH(orders!J$1, products!$A$1:$G$1, 0))</f>
        <v>M</v>
      </c>
      <c r="K626" s="4">
        <f>INDEX(products!$A$1:$G$49, MATCH(orders!$D626, products!$A$1:$A$49, 0), MATCH(orders!K$1, products!$A$1:$G$1, 0))</f>
        <v>2.5</v>
      </c>
      <c r="L626" s="5">
        <f>INDEX(products!$A$1:$G$49, MATCH(orders!$D626, products!$A$1:$A$49, 0), MATCH(orders!L$1, products!$A$1:$G$1, 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 MATCH(orders!$D627, products!$A$1:$A$49, 0), MATCH(orders!I$1, products!$A$1:$G$1, 0))</f>
        <v>Rob</v>
      </c>
      <c r="J627" t="str">
        <f>INDEX(products!$A$1:$G$49, MATCH(orders!$D627, products!$A$1:$A$49, 0), MATCH(orders!J$1, products!$A$1:$G$1, 0))</f>
        <v>L</v>
      </c>
      <c r="K627" s="4">
        <f>INDEX(products!$A$1:$G$49, MATCH(orders!$D627, products!$A$1:$A$49, 0), MATCH(orders!K$1, products!$A$1:$G$1, 0))</f>
        <v>0.5</v>
      </c>
      <c r="L627" s="5">
        <f>INDEX(products!$A$1:$G$49, MATCH(orders!$D627, products!$A$1:$A$49, 0), MATCH(orders!L$1, products!$A$1:$G$1, 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 MATCH(orders!$D628, products!$A$1:$A$49, 0), MATCH(orders!I$1, products!$A$1:$G$1, 0))</f>
        <v>Ara</v>
      </c>
      <c r="J628" t="str">
        <f>INDEX(products!$A$1:$G$49, MATCH(orders!$D628, products!$A$1:$A$49, 0), MATCH(orders!J$1, products!$A$1:$G$1, 0))</f>
        <v>M</v>
      </c>
      <c r="K628" s="4">
        <f>INDEX(products!$A$1:$G$49, MATCH(orders!$D628, products!$A$1:$A$49, 0), MATCH(orders!K$1, products!$A$1:$G$1, 0))</f>
        <v>2.5</v>
      </c>
      <c r="L628" s="5">
        <f>INDEX(products!$A$1:$G$49, MATCH(orders!$D628, products!$A$1:$A$49, 0), MATCH(orders!L$1, products!$A$1:$G$1, 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 MATCH(orders!$D629, products!$A$1:$A$49, 0), MATCH(orders!I$1, products!$A$1:$G$1, 0))</f>
        <v>Exc</v>
      </c>
      <c r="J629" t="str">
        <f>INDEX(products!$A$1:$G$49, MATCH(orders!$D629, products!$A$1:$A$49, 0), MATCH(orders!J$1, products!$A$1:$G$1, 0))</f>
        <v>M</v>
      </c>
      <c r="K629" s="4">
        <f>INDEX(products!$A$1:$G$49, MATCH(orders!$D629, products!$A$1:$A$49, 0), MATCH(orders!K$1, products!$A$1:$G$1, 0))</f>
        <v>2.5</v>
      </c>
      <c r="L629" s="5">
        <f>INDEX(products!$A$1:$G$49, MATCH(orders!$D629, products!$A$1:$A$49, 0), MATCH(orders!L$1, products!$A$1:$G$1, 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 MATCH(orders!$D630, products!$A$1:$A$49, 0), MATCH(orders!I$1, products!$A$1:$G$1, 0))</f>
        <v>Exc</v>
      </c>
      <c r="J630" t="str">
        <f>INDEX(products!$A$1:$G$49, MATCH(orders!$D630, products!$A$1:$A$49, 0), MATCH(orders!J$1, products!$A$1:$G$1, 0))</f>
        <v>L</v>
      </c>
      <c r="K630" s="4">
        <f>INDEX(products!$A$1:$G$49, MATCH(orders!$D630, products!$A$1:$A$49, 0), MATCH(orders!K$1, products!$A$1:$G$1, 0))</f>
        <v>0.2</v>
      </c>
      <c r="L630" s="5">
        <f>INDEX(products!$A$1:$G$49, MATCH(orders!$D630, products!$A$1:$A$49, 0), MATCH(orders!L$1, products!$A$1:$G$1, 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 MATCH(orders!$D631, products!$A$1:$A$49, 0), MATCH(orders!I$1, products!$A$1:$G$1, 0))</f>
        <v>Lib</v>
      </c>
      <c r="J631" t="str">
        <f>INDEX(products!$A$1:$G$49, MATCH(orders!$D631, products!$A$1:$A$49, 0), MATCH(orders!J$1, products!$A$1:$G$1, 0))</f>
        <v>D</v>
      </c>
      <c r="K631" s="4">
        <f>INDEX(products!$A$1:$G$49, MATCH(orders!$D631, products!$A$1:$A$49, 0), MATCH(orders!K$1, products!$A$1:$G$1, 0))</f>
        <v>0.5</v>
      </c>
      <c r="L631" s="5">
        <f>INDEX(products!$A$1:$G$49, MATCH(orders!$D631, products!$A$1:$A$49, 0), MATCH(orders!L$1, products!$A$1:$G$1, 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 MATCH(orders!$D632, products!$A$1:$A$49, 0), MATCH(orders!I$1, products!$A$1:$G$1, 0))</f>
        <v>Ara</v>
      </c>
      <c r="J632" t="str">
        <f>INDEX(products!$A$1:$G$49, MATCH(orders!$D632, products!$A$1:$A$49, 0), MATCH(orders!J$1, products!$A$1:$G$1, 0))</f>
        <v>D</v>
      </c>
      <c r="K632" s="4">
        <f>INDEX(products!$A$1:$G$49, MATCH(orders!$D632, products!$A$1:$A$49, 0), MATCH(orders!K$1, products!$A$1:$G$1, 0))</f>
        <v>0.2</v>
      </c>
      <c r="L632" s="5">
        <f>INDEX(products!$A$1:$G$49, MATCH(orders!$D632, products!$A$1:$A$49, 0), MATCH(orders!L$1, products!$A$1:$G$1, 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 MATCH(orders!$D633, products!$A$1:$A$49, 0), MATCH(orders!I$1, products!$A$1:$G$1, 0))</f>
        <v>Rob</v>
      </c>
      <c r="J633" t="str">
        <f>INDEX(products!$A$1:$G$49, MATCH(orders!$D633, products!$A$1:$A$49, 0), MATCH(orders!J$1, products!$A$1:$G$1, 0))</f>
        <v>D</v>
      </c>
      <c r="K633" s="4">
        <f>INDEX(products!$A$1:$G$49, MATCH(orders!$D633, products!$A$1:$A$49, 0), MATCH(orders!K$1, products!$A$1:$G$1, 0))</f>
        <v>2.5</v>
      </c>
      <c r="L633" s="5">
        <f>INDEX(products!$A$1:$G$49, MATCH(orders!$D633, products!$A$1:$A$49, 0), MATCH(orders!L$1, products!$A$1:$G$1, 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 MATCH(orders!$D634, products!$A$1:$A$49, 0), MATCH(orders!I$1, products!$A$1:$G$1, 0))</f>
        <v>Exc</v>
      </c>
      <c r="J634" t="str">
        <f>INDEX(products!$A$1:$G$49, MATCH(orders!$D634, products!$A$1:$A$49, 0), MATCH(orders!J$1, products!$A$1:$G$1, 0))</f>
        <v>L</v>
      </c>
      <c r="K634" s="4">
        <f>INDEX(products!$A$1:$G$49, MATCH(orders!$D634, products!$A$1:$A$49, 0), MATCH(orders!K$1, products!$A$1:$G$1, 0))</f>
        <v>0.5</v>
      </c>
      <c r="L634" s="5">
        <f>INDEX(products!$A$1:$G$49, MATCH(orders!$D634, products!$A$1:$A$49, 0), MATCH(orders!L$1, products!$A$1:$G$1, 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 MATCH(orders!$D635, products!$A$1:$A$49, 0), MATCH(orders!I$1, products!$A$1:$G$1, 0))</f>
        <v>Rob</v>
      </c>
      <c r="J635" t="str">
        <f>INDEX(products!$A$1:$G$49, MATCH(orders!$D635, products!$A$1:$A$49, 0), MATCH(orders!J$1, products!$A$1:$G$1, 0))</f>
        <v>L</v>
      </c>
      <c r="K635" s="4">
        <f>INDEX(products!$A$1:$G$49, MATCH(orders!$D635, products!$A$1:$A$49, 0), MATCH(orders!K$1, products!$A$1:$G$1, 0))</f>
        <v>1</v>
      </c>
      <c r="L635" s="5">
        <f>INDEX(products!$A$1:$G$49, MATCH(orders!$D635, products!$A$1:$A$49, 0), MATCH(orders!L$1, products!$A$1:$G$1, 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 MATCH(orders!$D636, products!$A$1:$A$49, 0), MATCH(orders!I$1, products!$A$1:$G$1, 0))</f>
        <v>Lib</v>
      </c>
      <c r="J636" t="str">
        <f>INDEX(products!$A$1:$G$49, MATCH(orders!$D636, products!$A$1:$A$49, 0), MATCH(orders!J$1, products!$A$1:$G$1, 0))</f>
        <v>M</v>
      </c>
      <c r="K636" s="4">
        <f>INDEX(products!$A$1:$G$49, MATCH(orders!$D636, products!$A$1:$A$49, 0), MATCH(orders!K$1, products!$A$1:$G$1, 0))</f>
        <v>1</v>
      </c>
      <c r="L636" s="5">
        <f>INDEX(products!$A$1:$G$49, MATCH(orders!$D636, products!$A$1:$A$49, 0), MATCH(orders!L$1, products!$A$1:$G$1, 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 MATCH(orders!$D637, products!$A$1:$A$49, 0), MATCH(orders!I$1, products!$A$1:$G$1, 0))</f>
        <v>Exc</v>
      </c>
      <c r="J637" t="str">
        <f>INDEX(products!$A$1:$G$49, MATCH(orders!$D637, products!$A$1:$A$49, 0), MATCH(orders!J$1, products!$A$1:$G$1, 0))</f>
        <v>L</v>
      </c>
      <c r="K637" s="4">
        <f>INDEX(products!$A$1:$G$49, MATCH(orders!$D637, products!$A$1:$A$49, 0), MATCH(orders!K$1, products!$A$1:$G$1, 0))</f>
        <v>0.5</v>
      </c>
      <c r="L637" s="5">
        <f>INDEX(products!$A$1:$G$49, MATCH(orders!$D637, products!$A$1:$A$49, 0), MATCH(orders!L$1, products!$A$1:$G$1, 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 MATCH(orders!$D638, products!$A$1:$A$49, 0), MATCH(orders!I$1, products!$A$1:$G$1, 0))</f>
        <v>Lib</v>
      </c>
      <c r="J638" t="str">
        <f>INDEX(products!$A$1:$G$49, MATCH(orders!$D638, products!$A$1:$A$49, 0), MATCH(orders!J$1, products!$A$1:$G$1, 0))</f>
        <v>L</v>
      </c>
      <c r="K638" s="4">
        <f>INDEX(products!$A$1:$G$49, MATCH(orders!$D638, products!$A$1:$A$49, 0), MATCH(orders!K$1, products!$A$1:$G$1, 0))</f>
        <v>1</v>
      </c>
      <c r="L638" s="5">
        <f>INDEX(products!$A$1:$G$49, MATCH(orders!$D638, products!$A$1:$A$49, 0), MATCH(orders!L$1, products!$A$1:$G$1, 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 MATCH(orders!$D639, products!$A$1:$A$49, 0), MATCH(orders!I$1, products!$A$1:$G$1, 0))</f>
        <v>Exc</v>
      </c>
      <c r="J639" t="str">
        <f>INDEX(products!$A$1:$G$49, MATCH(orders!$D639, products!$A$1:$A$49, 0), MATCH(orders!J$1, products!$A$1:$G$1, 0))</f>
        <v>M</v>
      </c>
      <c r="K639" s="4">
        <f>INDEX(products!$A$1:$G$49, MATCH(orders!$D639, products!$A$1:$A$49, 0), MATCH(orders!K$1, products!$A$1:$G$1, 0))</f>
        <v>2.5</v>
      </c>
      <c r="L639" s="5">
        <f>INDEX(products!$A$1:$G$49, MATCH(orders!$D639, products!$A$1:$A$49, 0), MATCH(orders!L$1, products!$A$1:$G$1, 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 MATCH(orders!$D640, products!$A$1:$A$49, 0), MATCH(orders!I$1, products!$A$1:$G$1, 0))</f>
        <v>Ara</v>
      </c>
      <c r="J640" t="str">
        <f>INDEX(products!$A$1:$G$49, MATCH(orders!$D640, products!$A$1:$A$49, 0), MATCH(orders!J$1, products!$A$1:$G$1, 0))</f>
        <v>M</v>
      </c>
      <c r="K640" s="4">
        <f>INDEX(products!$A$1:$G$49, MATCH(orders!$D640, products!$A$1:$A$49, 0), MATCH(orders!K$1, products!$A$1:$G$1, 0))</f>
        <v>2.5</v>
      </c>
      <c r="L640" s="5">
        <f>INDEX(products!$A$1:$G$49, MATCH(orders!$D640, products!$A$1:$A$49, 0), MATCH(orders!L$1, products!$A$1:$G$1, 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 MATCH(orders!$D641, products!$A$1:$A$49, 0), MATCH(orders!I$1, products!$A$1:$G$1, 0))</f>
        <v>Lib</v>
      </c>
      <c r="J641" t="str">
        <f>INDEX(products!$A$1:$G$49, MATCH(orders!$D641, products!$A$1:$A$49, 0), MATCH(orders!J$1, products!$A$1:$G$1, 0))</f>
        <v>D</v>
      </c>
      <c r="K641" s="4">
        <f>INDEX(products!$A$1:$G$49, MATCH(orders!$D641, products!$A$1:$A$49, 0), MATCH(orders!K$1, products!$A$1:$G$1, 0))</f>
        <v>0.2</v>
      </c>
      <c r="L641" s="5">
        <f>INDEX(products!$A$1:$G$49, MATCH(orders!$D641, products!$A$1:$A$49, 0), MATCH(orders!L$1, products!$A$1:$G$1, 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 MATCH(orders!$D642, products!$A$1:$A$49, 0), MATCH(orders!I$1, products!$A$1:$G$1, 0))</f>
        <v>Rob</v>
      </c>
      <c r="J642" t="str">
        <f>INDEX(products!$A$1:$G$49, MATCH(orders!$D642, products!$A$1:$A$49, 0), MATCH(orders!J$1, products!$A$1:$G$1, 0))</f>
        <v>L</v>
      </c>
      <c r="K642" s="4">
        <f>INDEX(products!$A$1:$G$49, MATCH(orders!$D642, products!$A$1:$A$49, 0), MATCH(orders!K$1, products!$A$1:$G$1, 0))</f>
        <v>2.5</v>
      </c>
      <c r="L642" s="5">
        <f>INDEX(products!$A$1:$G$49, MATCH(orders!$D642, products!$A$1:$A$49, 0), MATCH(orders!L$1, products!$A$1:$G$1, 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 MATCH(orders!$D643, products!$A$1:$A$49, 0), MATCH(orders!I$1, products!$A$1:$G$1, 0))</f>
        <v>Rob</v>
      </c>
      <c r="J643" t="str">
        <f>INDEX(products!$A$1:$G$49, MATCH(orders!$D643, products!$A$1:$A$49, 0), MATCH(orders!J$1, products!$A$1:$G$1, 0))</f>
        <v>L</v>
      </c>
      <c r="K643" s="4">
        <f>INDEX(products!$A$1:$G$49, MATCH(orders!$D643, products!$A$1:$A$49, 0), MATCH(orders!K$1, products!$A$1:$G$1, 0))</f>
        <v>1</v>
      </c>
      <c r="L643" s="5">
        <f>INDEX(products!$A$1:$G$49, MATCH(orders!$D643, products!$A$1:$A$49, 0), MATCH(orders!L$1, products!$A$1:$G$1, 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 MATCH(orders!$D644, products!$A$1:$A$49, 0), MATCH(orders!I$1, products!$A$1:$G$1, 0))</f>
        <v>Exc</v>
      </c>
      <c r="J644" t="str">
        <f>INDEX(products!$A$1:$G$49, MATCH(orders!$D644, products!$A$1:$A$49, 0), MATCH(orders!J$1, products!$A$1:$G$1, 0))</f>
        <v>M</v>
      </c>
      <c r="K644" s="4">
        <f>INDEX(products!$A$1:$G$49, MATCH(orders!$D644, products!$A$1:$A$49, 0), MATCH(orders!K$1, products!$A$1:$G$1, 0))</f>
        <v>0.2</v>
      </c>
      <c r="L644" s="5">
        <f>INDEX(products!$A$1:$G$49, MATCH(orders!$D644, products!$A$1:$A$49, 0), MATCH(orders!L$1, products!$A$1:$G$1, 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 MATCH(orders!$D645, products!$A$1:$A$49, 0), MATCH(orders!I$1, products!$A$1:$G$1, 0))</f>
        <v>Exc</v>
      </c>
      <c r="J645" t="str">
        <f>INDEX(products!$A$1:$G$49, MATCH(orders!$D645, products!$A$1:$A$49, 0), MATCH(orders!J$1, products!$A$1:$G$1, 0))</f>
        <v>L</v>
      </c>
      <c r="K645" s="4">
        <f>INDEX(products!$A$1:$G$49, MATCH(orders!$D645, products!$A$1:$A$49, 0), MATCH(orders!K$1, products!$A$1:$G$1, 0))</f>
        <v>2.5</v>
      </c>
      <c r="L645" s="5">
        <f>INDEX(products!$A$1:$G$49, MATCH(orders!$D645, products!$A$1:$A$49, 0), MATCH(orders!L$1, products!$A$1:$G$1, 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 MATCH(orders!$D646, products!$A$1:$A$49, 0), MATCH(orders!I$1, products!$A$1:$G$1, 0))</f>
        <v>Rob</v>
      </c>
      <c r="J646" t="str">
        <f>INDEX(products!$A$1:$G$49, MATCH(orders!$D646, products!$A$1:$A$49, 0), MATCH(orders!J$1, products!$A$1:$G$1, 0))</f>
        <v>D</v>
      </c>
      <c r="K646" s="4">
        <f>INDEX(products!$A$1:$G$49, MATCH(orders!$D646, products!$A$1:$A$49, 0), MATCH(orders!K$1, products!$A$1:$G$1, 0))</f>
        <v>2.5</v>
      </c>
      <c r="L646" s="5">
        <f>INDEX(products!$A$1:$G$49, MATCH(orders!$D646, products!$A$1:$A$49, 0), MATCH(orders!L$1, products!$A$1:$G$1, 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 MATCH(orders!$D647, products!$A$1:$A$49, 0), MATCH(orders!I$1, products!$A$1:$G$1, 0))</f>
        <v>Ara</v>
      </c>
      <c r="J647" t="str">
        <f>INDEX(products!$A$1:$G$49, MATCH(orders!$D647, products!$A$1:$A$49, 0), MATCH(orders!J$1, products!$A$1:$G$1, 0))</f>
        <v>D</v>
      </c>
      <c r="K647" s="4">
        <f>INDEX(products!$A$1:$G$49, MATCH(orders!$D647, products!$A$1:$A$49, 0), MATCH(orders!K$1, products!$A$1:$G$1, 0))</f>
        <v>2.5</v>
      </c>
      <c r="L647" s="5">
        <f>INDEX(products!$A$1:$G$49, MATCH(orders!$D647, products!$A$1:$A$49, 0), MATCH(orders!L$1, products!$A$1:$G$1, 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 MATCH(orders!$D648, products!$A$1:$A$49, 0), MATCH(orders!I$1, products!$A$1:$G$1, 0))</f>
        <v>Ara</v>
      </c>
      <c r="J648" t="str">
        <f>INDEX(products!$A$1:$G$49, MATCH(orders!$D648, products!$A$1:$A$49, 0), MATCH(orders!J$1, products!$A$1:$G$1, 0))</f>
        <v>D</v>
      </c>
      <c r="K648" s="4">
        <f>INDEX(products!$A$1:$G$49, MATCH(orders!$D648, products!$A$1:$A$49, 0), MATCH(orders!K$1, products!$A$1:$G$1, 0))</f>
        <v>1</v>
      </c>
      <c r="L648" s="5">
        <f>INDEX(products!$A$1:$G$49, MATCH(orders!$D648, products!$A$1:$A$49, 0), MATCH(orders!L$1, products!$A$1:$G$1, 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 MATCH(orders!$D649, products!$A$1:$A$49, 0), MATCH(orders!I$1, products!$A$1:$G$1, 0))</f>
        <v>Lib</v>
      </c>
      <c r="J649" t="str">
        <f>INDEX(products!$A$1:$G$49, MATCH(orders!$D649, products!$A$1:$A$49, 0), MATCH(orders!J$1, products!$A$1:$G$1, 0))</f>
        <v>L</v>
      </c>
      <c r="K649" s="4">
        <f>INDEX(products!$A$1:$G$49, MATCH(orders!$D649, products!$A$1:$A$49, 0), MATCH(orders!K$1, products!$A$1:$G$1, 0))</f>
        <v>0.5</v>
      </c>
      <c r="L649" s="5">
        <f>INDEX(products!$A$1:$G$49, MATCH(orders!$D649, products!$A$1:$A$49, 0), MATCH(orders!L$1, products!$A$1:$G$1, 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 MATCH(orders!$D650, products!$A$1:$A$49, 0), MATCH(orders!I$1, products!$A$1:$G$1, 0))</f>
        <v>Rob</v>
      </c>
      <c r="J650" t="str">
        <f>INDEX(products!$A$1:$G$49, MATCH(orders!$D650, products!$A$1:$A$49, 0), MATCH(orders!J$1, products!$A$1:$G$1, 0))</f>
        <v>D</v>
      </c>
      <c r="K650" s="4">
        <f>INDEX(products!$A$1:$G$49, MATCH(orders!$D650, products!$A$1:$A$49, 0), MATCH(orders!K$1, products!$A$1:$G$1, 0))</f>
        <v>0.2</v>
      </c>
      <c r="L650" s="5">
        <f>INDEX(products!$A$1:$G$49, MATCH(orders!$D650, products!$A$1:$A$49, 0), MATCH(orders!L$1, products!$A$1:$G$1, 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 MATCH(orders!$D651, products!$A$1:$A$49, 0), MATCH(orders!I$1, products!$A$1:$G$1, 0))</f>
        <v>Lib</v>
      </c>
      <c r="J651" t="str">
        <f>INDEX(products!$A$1:$G$49, MATCH(orders!$D651, products!$A$1:$A$49, 0), MATCH(orders!J$1, products!$A$1:$G$1, 0))</f>
        <v>L</v>
      </c>
      <c r="K651" s="4">
        <f>INDEX(products!$A$1:$G$49, MATCH(orders!$D651, products!$A$1:$A$49, 0), MATCH(orders!K$1, products!$A$1:$G$1, 0))</f>
        <v>1</v>
      </c>
      <c r="L651" s="5">
        <f>INDEX(products!$A$1:$G$49, MATCH(orders!$D651, products!$A$1:$A$49, 0), MATCH(orders!L$1, products!$A$1:$G$1, 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 MATCH(orders!$D652, products!$A$1:$A$49, 0), MATCH(orders!I$1, products!$A$1:$G$1, 0))</f>
        <v>Rob</v>
      </c>
      <c r="J652" t="str">
        <f>INDEX(products!$A$1:$G$49, MATCH(orders!$D652, products!$A$1:$A$49, 0), MATCH(orders!J$1, products!$A$1:$G$1, 0))</f>
        <v>D</v>
      </c>
      <c r="K652" s="4">
        <f>INDEX(products!$A$1:$G$49, MATCH(orders!$D652, products!$A$1:$A$49, 0), MATCH(orders!K$1, products!$A$1:$G$1, 0))</f>
        <v>0.5</v>
      </c>
      <c r="L652" s="5">
        <f>INDEX(products!$A$1:$G$49, MATCH(orders!$D652, products!$A$1:$A$49, 0), MATCH(orders!L$1, products!$A$1:$G$1, 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 MATCH(orders!$D653, products!$A$1:$A$49, 0), MATCH(orders!I$1, products!$A$1:$G$1, 0))</f>
        <v>Rob</v>
      </c>
      <c r="J653" t="str">
        <f>INDEX(products!$A$1:$G$49, MATCH(orders!$D653, products!$A$1:$A$49, 0), MATCH(orders!J$1, products!$A$1:$G$1, 0))</f>
        <v>L</v>
      </c>
      <c r="K653" s="4">
        <f>INDEX(products!$A$1:$G$49, MATCH(orders!$D653, products!$A$1:$A$49, 0), MATCH(orders!K$1, products!$A$1:$G$1, 0))</f>
        <v>1</v>
      </c>
      <c r="L653" s="5">
        <f>INDEX(products!$A$1:$G$49, MATCH(orders!$D653, products!$A$1:$A$49, 0), MATCH(orders!L$1, products!$A$1:$G$1, 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 MATCH(orders!$D654, products!$A$1:$A$49, 0), MATCH(orders!I$1, products!$A$1:$G$1, 0))</f>
        <v>Lib</v>
      </c>
      <c r="J654" t="str">
        <f>INDEX(products!$A$1:$G$49, MATCH(orders!$D654, products!$A$1:$A$49, 0), MATCH(orders!J$1, products!$A$1:$G$1, 0))</f>
        <v>L</v>
      </c>
      <c r="K654" s="4">
        <f>INDEX(products!$A$1:$G$49, MATCH(orders!$D654, products!$A$1:$A$49, 0), MATCH(orders!K$1, products!$A$1:$G$1, 0))</f>
        <v>1</v>
      </c>
      <c r="L654" s="5">
        <f>INDEX(products!$A$1:$G$49, MATCH(orders!$D654, products!$A$1:$A$49, 0), MATCH(orders!L$1, products!$A$1:$G$1, 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 MATCH(orders!$D655, products!$A$1:$A$49, 0), MATCH(orders!I$1, products!$A$1:$G$1, 0))</f>
        <v>Ara</v>
      </c>
      <c r="J655" t="str">
        <f>INDEX(products!$A$1:$G$49, MATCH(orders!$D655, products!$A$1:$A$49, 0), MATCH(orders!J$1, products!$A$1:$G$1, 0))</f>
        <v>M</v>
      </c>
      <c r="K655" s="4">
        <f>INDEX(products!$A$1:$G$49, MATCH(orders!$D655, products!$A$1:$A$49, 0), MATCH(orders!K$1, products!$A$1:$G$1, 0))</f>
        <v>2.5</v>
      </c>
      <c r="L655" s="5">
        <f>INDEX(products!$A$1:$G$49, MATCH(orders!$D655, products!$A$1:$A$49, 0), MATCH(orders!L$1, products!$A$1:$G$1, 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 MATCH(orders!$D656, products!$A$1:$A$49, 0), MATCH(orders!I$1, products!$A$1:$G$1, 0))</f>
        <v>Ara</v>
      </c>
      <c r="J656" t="str">
        <f>INDEX(products!$A$1:$G$49, MATCH(orders!$D656, products!$A$1:$A$49, 0), MATCH(orders!J$1, products!$A$1:$G$1, 0))</f>
        <v>D</v>
      </c>
      <c r="K656" s="4">
        <f>INDEX(products!$A$1:$G$49, MATCH(orders!$D656, products!$A$1:$A$49, 0), MATCH(orders!K$1, products!$A$1:$G$1, 0))</f>
        <v>2.5</v>
      </c>
      <c r="L656" s="5">
        <f>INDEX(products!$A$1:$G$49, MATCH(orders!$D656, products!$A$1:$A$49, 0), MATCH(orders!L$1, products!$A$1:$G$1, 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 MATCH(orders!$D657, products!$A$1:$A$49, 0), MATCH(orders!I$1, products!$A$1:$G$1, 0))</f>
        <v>Rob</v>
      </c>
      <c r="J657" t="str">
        <f>INDEX(products!$A$1:$G$49, MATCH(orders!$D657, products!$A$1:$A$49, 0), MATCH(orders!J$1, products!$A$1:$G$1, 0))</f>
        <v>M</v>
      </c>
      <c r="K657" s="4">
        <f>INDEX(products!$A$1:$G$49, MATCH(orders!$D657, products!$A$1:$A$49, 0), MATCH(orders!K$1, products!$A$1:$G$1, 0))</f>
        <v>2.5</v>
      </c>
      <c r="L657" s="5">
        <f>INDEX(products!$A$1:$G$49, MATCH(orders!$D657, products!$A$1:$A$49, 0), MATCH(orders!L$1, products!$A$1:$G$1, 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 MATCH(orders!$D658, products!$A$1:$A$49, 0), MATCH(orders!I$1, products!$A$1:$G$1, 0))</f>
        <v>Lib</v>
      </c>
      <c r="J658" t="str">
        <f>INDEX(products!$A$1:$G$49, MATCH(orders!$D658, products!$A$1:$A$49, 0), MATCH(orders!J$1, products!$A$1:$G$1, 0))</f>
        <v>D</v>
      </c>
      <c r="K658" s="4">
        <f>INDEX(products!$A$1:$G$49, MATCH(orders!$D658, products!$A$1:$A$49, 0), MATCH(orders!K$1, products!$A$1:$G$1, 0))</f>
        <v>1</v>
      </c>
      <c r="L658" s="5">
        <f>INDEX(products!$A$1:$G$49, MATCH(orders!$D658, products!$A$1:$A$49, 0), MATCH(orders!L$1, products!$A$1:$G$1, 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 MATCH(orders!$D659, products!$A$1:$A$49, 0), MATCH(orders!I$1, products!$A$1:$G$1, 0))</f>
        <v>Ara</v>
      </c>
      <c r="J659" t="str">
        <f>INDEX(products!$A$1:$G$49, MATCH(orders!$D659, products!$A$1:$A$49, 0), MATCH(orders!J$1, products!$A$1:$G$1, 0))</f>
        <v>M</v>
      </c>
      <c r="K659" s="4">
        <f>INDEX(products!$A$1:$G$49, MATCH(orders!$D659, products!$A$1:$A$49, 0), MATCH(orders!K$1, products!$A$1:$G$1, 0))</f>
        <v>0.5</v>
      </c>
      <c r="L659" s="5">
        <f>INDEX(products!$A$1:$G$49, MATCH(orders!$D659, products!$A$1:$A$49, 0), MATCH(orders!L$1, products!$A$1:$G$1, 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 MATCH(orders!$D660, products!$A$1:$A$49, 0), MATCH(orders!I$1, products!$A$1:$G$1, 0))</f>
        <v>Exc</v>
      </c>
      <c r="J660" t="str">
        <f>INDEX(products!$A$1:$G$49, MATCH(orders!$D660, products!$A$1:$A$49, 0), MATCH(orders!J$1, products!$A$1:$G$1, 0))</f>
        <v>M</v>
      </c>
      <c r="K660" s="4">
        <f>INDEX(products!$A$1:$G$49, MATCH(orders!$D660, products!$A$1:$A$49, 0), MATCH(orders!K$1, products!$A$1:$G$1, 0))</f>
        <v>0.5</v>
      </c>
      <c r="L660" s="5">
        <f>INDEX(products!$A$1:$G$49, MATCH(orders!$D660, products!$A$1:$A$49, 0), MATCH(orders!L$1, products!$A$1:$G$1, 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 MATCH(orders!$D661, products!$A$1:$A$49, 0), MATCH(orders!I$1, products!$A$1:$G$1, 0))</f>
        <v>Ara</v>
      </c>
      <c r="J661" t="str">
        <f>INDEX(products!$A$1:$G$49, MATCH(orders!$D661, products!$A$1:$A$49, 0), MATCH(orders!J$1, products!$A$1:$G$1, 0))</f>
        <v>D</v>
      </c>
      <c r="K661" s="4">
        <f>INDEX(products!$A$1:$G$49, MATCH(orders!$D661, products!$A$1:$A$49, 0), MATCH(orders!K$1, products!$A$1:$G$1, 0))</f>
        <v>2.5</v>
      </c>
      <c r="L661" s="5">
        <f>INDEX(products!$A$1:$G$49, MATCH(orders!$D661, products!$A$1:$A$49, 0), MATCH(orders!L$1, products!$A$1:$G$1, 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 MATCH(orders!$D662, products!$A$1:$A$49, 0), MATCH(orders!I$1, products!$A$1:$G$1, 0))</f>
        <v>Exc</v>
      </c>
      <c r="J662" t="str">
        <f>INDEX(products!$A$1:$G$49, MATCH(orders!$D662, products!$A$1:$A$49, 0), MATCH(orders!J$1, products!$A$1:$G$1, 0))</f>
        <v>L</v>
      </c>
      <c r="K662" s="4">
        <f>INDEX(products!$A$1:$G$49, MATCH(orders!$D662, products!$A$1:$A$49, 0), MATCH(orders!K$1, products!$A$1:$G$1, 0))</f>
        <v>0.5</v>
      </c>
      <c r="L662" s="5">
        <f>INDEX(products!$A$1:$G$49, MATCH(orders!$D662, products!$A$1:$A$49, 0), MATCH(orders!L$1, products!$A$1:$G$1, 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 MATCH(orders!$D663, products!$A$1:$A$49, 0), MATCH(orders!I$1, products!$A$1:$G$1, 0))</f>
        <v>Ara</v>
      </c>
      <c r="J663" t="str">
        <f>INDEX(products!$A$1:$G$49, MATCH(orders!$D663, products!$A$1:$A$49, 0), MATCH(orders!J$1, products!$A$1:$G$1, 0))</f>
        <v>M</v>
      </c>
      <c r="K663" s="4">
        <f>INDEX(products!$A$1:$G$49, MATCH(orders!$D663, products!$A$1:$A$49, 0), MATCH(orders!K$1, products!$A$1:$G$1, 0))</f>
        <v>0.2</v>
      </c>
      <c r="L663" s="5">
        <f>INDEX(products!$A$1:$G$49, MATCH(orders!$D663, products!$A$1:$A$49, 0), MATCH(orders!L$1, products!$A$1:$G$1, 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 MATCH(orders!$D664, products!$A$1:$A$49, 0), MATCH(orders!I$1, products!$A$1:$G$1, 0))</f>
        <v>Lib</v>
      </c>
      <c r="J664" t="str">
        <f>INDEX(products!$A$1:$G$49, MATCH(orders!$D664, products!$A$1:$A$49, 0), MATCH(orders!J$1, products!$A$1:$G$1, 0))</f>
        <v>D</v>
      </c>
      <c r="K664" s="4">
        <f>INDEX(products!$A$1:$G$49, MATCH(orders!$D664, products!$A$1:$A$49, 0), MATCH(orders!K$1, products!$A$1:$G$1, 0))</f>
        <v>2.5</v>
      </c>
      <c r="L664" s="5">
        <f>INDEX(products!$A$1:$G$49, MATCH(orders!$D664, products!$A$1:$A$49, 0), MATCH(orders!L$1, products!$A$1:$G$1, 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 MATCH(orders!$D665, products!$A$1:$A$49, 0), MATCH(orders!I$1, products!$A$1:$G$1, 0))</f>
        <v>Ara</v>
      </c>
      <c r="J665" t="str">
        <f>INDEX(products!$A$1:$G$49, MATCH(orders!$D665, products!$A$1:$A$49, 0), MATCH(orders!J$1, products!$A$1:$G$1, 0))</f>
        <v>M</v>
      </c>
      <c r="K665" s="4">
        <f>INDEX(products!$A$1:$G$49, MATCH(orders!$D665, products!$A$1:$A$49, 0), MATCH(orders!K$1, products!$A$1:$G$1, 0))</f>
        <v>1</v>
      </c>
      <c r="L665" s="5">
        <f>INDEX(products!$A$1:$G$49, MATCH(orders!$D665, products!$A$1:$A$49, 0), MATCH(orders!L$1, products!$A$1:$G$1, 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 MATCH(orders!$D666, products!$A$1:$A$49, 0), MATCH(orders!I$1, products!$A$1:$G$1, 0))</f>
        <v>Exc</v>
      </c>
      <c r="J666" t="str">
        <f>INDEX(products!$A$1:$G$49, MATCH(orders!$D666, products!$A$1:$A$49, 0), MATCH(orders!J$1, products!$A$1:$G$1, 0))</f>
        <v>D</v>
      </c>
      <c r="K666" s="4">
        <f>INDEX(products!$A$1:$G$49, MATCH(orders!$D666, products!$A$1:$A$49, 0), MATCH(orders!K$1, products!$A$1:$G$1, 0))</f>
        <v>1</v>
      </c>
      <c r="L666" s="5">
        <f>INDEX(products!$A$1:$G$49, MATCH(orders!$D666, products!$A$1:$A$49, 0), MATCH(orders!L$1, products!$A$1:$G$1, 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 MATCH(orders!$D667, products!$A$1:$A$49, 0), MATCH(orders!I$1, products!$A$1:$G$1, 0))</f>
        <v>Lib</v>
      </c>
      <c r="J667" t="str">
        <f>INDEX(products!$A$1:$G$49, MATCH(orders!$D667, products!$A$1:$A$49, 0), MATCH(orders!J$1, products!$A$1:$G$1, 0))</f>
        <v>D</v>
      </c>
      <c r="K667" s="4">
        <f>INDEX(products!$A$1:$G$49, MATCH(orders!$D667, products!$A$1:$A$49, 0), MATCH(orders!K$1, products!$A$1:$G$1, 0))</f>
        <v>0.2</v>
      </c>
      <c r="L667" s="5">
        <f>INDEX(products!$A$1:$G$49, MATCH(orders!$D667, products!$A$1:$A$49, 0), MATCH(orders!L$1, products!$A$1:$G$1, 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 MATCH(orders!$D668, products!$A$1:$A$49, 0), MATCH(orders!I$1, products!$A$1:$G$1, 0))</f>
        <v>Ara</v>
      </c>
      <c r="J668" t="str">
        <f>INDEX(products!$A$1:$G$49, MATCH(orders!$D668, products!$A$1:$A$49, 0), MATCH(orders!J$1, products!$A$1:$G$1, 0))</f>
        <v>D</v>
      </c>
      <c r="K668" s="4">
        <f>INDEX(products!$A$1:$G$49, MATCH(orders!$D668, products!$A$1:$A$49, 0), MATCH(orders!K$1, products!$A$1:$G$1, 0))</f>
        <v>2.5</v>
      </c>
      <c r="L668" s="5">
        <f>INDEX(products!$A$1:$G$49, MATCH(orders!$D668, products!$A$1:$A$49, 0), MATCH(orders!L$1, products!$A$1:$G$1, 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 MATCH(orders!$D669, products!$A$1:$A$49, 0), MATCH(orders!I$1, products!$A$1:$G$1, 0))</f>
        <v>Ara</v>
      </c>
      <c r="J669" t="str">
        <f>INDEX(products!$A$1:$G$49, MATCH(orders!$D669, products!$A$1:$A$49, 0), MATCH(orders!J$1, products!$A$1:$G$1, 0))</f>
        <v>D</v>
      </c>
      <c r="K669" s="4">
        <f>INDEX(products!$A$1:$G$49, MATCH(orders!$D669, products!$A$1:$A$49, 0), MATCH(orders!K$1, products!$A$1:$G$1, 0))</f>
        <v>1</v>
      </c>
      <c r="L669" s="5">
        <f>INDEX(products!$A$1:$G$49, MATCH(orders!$D669, products!$A$1:$A$49, 0), MATCH(orders!L$1, products!$A$1:$G$1, 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 MATCH(orders!$D670, products!$A$1:$A$49, 0), MATCH(orders!I$1, products!$A$1:$G$1, 0))</f>
        <v>Rob</v>
      </c>
      <c r="J670" t="str">
        <f>INDEX(products!$A$1:$G$49, MATCH(orders!$D670, products!$A$1:$A$49, 0), MATCH(orders!J$1, products!$A$1:$G$1, 0))</f>
        <v>L</v>
      </c>
      <c r="K670" s="4">
        <f>INDEX(products!$A$1:$G$49, MATCH(orders!$D670, products!$A$1:$A$49, 0), MATCH(orders!K$1, products!$A$1:$G$1, 0))</f>
        <v>2.5</v>
      </c>
      <c r="L670" s="5">
        <f>INDEX(products!$A$1:$G$49, MATCH(orders!$D670, products!$A$1:$A$49, 0), MATCH(orders!L$1, products!$A$1:$G$1, 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 MATCH(orders!$D671, products!$A$1:$A$49, 0), MATCH(orders!I$1, products!$A$1:$G$1, 0))</f>
        <v>Lib</v>
      </c>
      <c r="J671" t="str">
        <f>INDEX(products!$A$1:$G$49, MATCH(orders!$D671, products!$A$1:$A$49, 0), MATCH(orders!J$1, products!$A$1:$G$1, 0))</f>
        <v>M</v>
      </c>
      <c r="K671" s="4">
        <f>INDEX(products!$A$1:$G$49, MATCH(orders!$D671, products!$A$1:$A$49, 0), MATCH(orders!K$1, products!$A$1:$G$1, 0))</f>
        <v>2.5</v>
      </c>
      <c r="L671" s="5">
        <f>INDEX(products!$A$1:$G$49, MATCH(orders!$D671, products!$A$1:$A$49, 0), MATCH(orders!L$1, products!$A$1:$G$1, 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 MATCH(orders!$D672, products!$A$1:$A$49, 0), MATCH(orders!I$1, products!$A$1:$G$1, 0))</f>
        <v>Lib</v>
      </c>
      <c r="J672" t="str">
        <f>INDEX(products!$A$1:$G$49, MATCH(orders!$D672, products!$A$1:$A$49, 0), MATCH(orders!J$1, products!$A$1:$G$1, 0))</f>
        <v>M</v>
      </c>
      <c r="K672" s="4">
        <f>INDEX(products!$A$1:$G$49, MATCH(orders!$D672, products!$A$1:$A$49, 0), MATCH(orders!K$1, products!$A$1:$G$1, 0))</f>
        <v>0.2</v>
      </c>
      <c r="L672" s="5">
        <f>INDEX(products!$A$1:$G$49, MATCH(orders!$D672, products!$A$1:$A$49, 0), MATCH(orders!L$1, products!$A$1:$G$1, 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 MATCH(orders!$D673, products!$A$1:$A$49, 0), MATCH(orders!I$1, products!$A$1:$G$1, 0))</f>
        <v>Rob</v>
      </c>
      <c r="J673" t="str">
        <f>INDEX(products!$A$1:$G$49, MATCH(orders!$D673, products!$A$1:$A$49, 0), MATCH(orders!J$1, products!$A$1:$G$1, 0))</f>
        <v>L</v>
      </c>
      <c r="K673" s="4">
        <f>INDEX(products!$A$1:$G$49, MATCH(orders!$D673, products!$A$1:$A$49, 0), MATCH(orders!K$1, products!$A$1:$G$1, 0))</f>
        <v>1</v>
      </c>
      <c r="L673" s="5">
        <f>INDEX(products!$A$1:$G$49, MATCH(orders!$D673, products!$A$1:$A$49, 0), MATCH(orders!L$1, products!$A$1:$G$1, 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 MATCH(orders!$D674, products!$A$1:$A$49, 0), MATCH(orders!I$1, products!$A$1:$G$1, 0))</f>
        <v>Lib</v>
      </c>
      <c r="J674" t="str">
        <f>INDEX(products!$A$1:$G$49, MATCH(orders!$D674, products!$A$1:$A$49, 0), MATCH(orders!J$1, products!$A$1:$G$1, 0))</f>
        <v>M</v>
      </c>
      <c r="K674" s="4">
        <f>INDEX(products!$A$1:$G$49, MATCH(orders!$D674, products!$A$1:$A$49, 0), MATCH(orders!K$1, products!$A$1:$G$1, 0))</f>
        <v>0.5</v>
      </c>
      <c r="L674" s="5">
        <f>INDEX(products!$A$1:$G$49, MATCH(orders!$D674, products!$A$1:$A$49, 0), MATCH(orders!L$1, products!$A$1:$G$1, 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 MATCH(orders!$D675, products!$A$1:$A$49, 0), MATCH(orders!I$1, products!$A$1:$G$1, 0))</f>
        <v>Exc</v>
      </c>
      <c r="J675" t="str">
        <f>INDEX(products!$A$1:$G$49, MATCH(orders!$D675, products!$A$1:$A$49, 0), MATCH(orders!J$1, products!$A$1:$G$1, 0))</f>
        <v>M</v>
      </c>
      <c r="K675" s="4">
        <f>INDEX(products!$A$1:$G$49, MATCH(orders!$D675, products!$A$1:$A$49, 0), MATCH(orders!K$1, products!$A$1:$G$1, 0))</f>
        <v>1</v>
      </c>
      <c r="L675" s="5">
        <f>INDEX(products!$A$1:$G$49, MATCH(orders!$D675, products!$A$1:$A$49, 0), MATCH(orders!L$1, products!$A$1:$G$1, 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 MATCH(orders!$D676, products!$A$1:$A$49, 0), MATCH(orders!I$1, products!$A$1:$G$1, 0))</f>
        <v>Ara</v>
      </c>
      <c r="J676" t="str">
        <f>INDEX(products!$A$1:$G$49, MATCH(orders!$D676, products!$A$1:$A$49, 0), MATCH(orders!J$1, products!$A$1:$G$1, 0))</f>
        <v>L</v>
      </c>
      <c r="K676" s="4">
        <f>INDEX(products!$A$1:$G$49, MATCH(orders!$D676, products!$A$1:$A$49, 0), MATCH(orders!K$1, products!$A$1:$G$1, 0))</f>
        <v>2.5</v>
      </c>
      <c r="L676" s="5">
        <f>INDEX(products!$A$1:$G$49, MATCH(orders!$D676, products!$A$1:$A$49, 0), MATCH(orders!L$1, products!$A$1:$G$1, 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 MATCH(orders!$D677, products!$A$1:$A$49, 0), MATCH(orders!I$1, products!$A$1:$G$1, 0))</f>
        <v>Lib</v>
      </c>
      <c r="J677" t="str">
        <f>INDEX(products!$A$1:$G$49, MATCH(orders!$D677, products!$A$1:$A$49, 0), MATCH(orders!J$1, products!$A$1:$G$1, 0))</f>
        <v>D</v>
      </c>
      <c r="K677" s="4">
        <f>INDEX(products!$A$1:$G$49, MATCH(orders!$D677, products!$A$1:$A$49, 0), MATCH(orders!K$1, products!$A$1:$G$1, 0))</f>
        <v>2.5</v>
      </c>
      <c r="L677" s="5">
        <f>INDEX(products!$A$1:$G$49, MATCH(orders!$D677, products!$A$1:$A$49, 0), MATCH(orders!L$1, products!$A$1:$G$1, 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 MATCH(orders!$D678, products!$A$1:$A$49, 0), MATCH(orders!I$1, products!$A$1:$G$1, 0))</f>
        <v>Lib</v>
      </c>
      <c r="J678" t="str">
        <f>INDEX(products!$A$1:$G$49, MATCH(orders!$D678, products!$A$1:$A$49, 0), MATCH(orders!J$1, products!$A$1:$G$1, 0))</f>
        <v>L</v>
      </c>
      <c r="K678" s="4">
        <f>INDEX(products!$A$1:$G$49, MATCH(orders!$D678, products!$A$1:$A$49, 0), MATCH(orders!K$1, products!$A$1:$G$1, 0))</f>
        <v>0.5</v>
      </c>
      <c r="L678" s="5">
        <f>INDEX(products!$A$1:$G$49, MATCH(orders!$D678, products!$A$1:$A$49, 0), MATCH(orders!L$1, products!$A$1:$G$1, 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 MATCH(orders!$D679, products!$A$1:$A$49, 0), MATCH(orders!I$1, products!$A$1:$G$1, 0))</f>
        <v>Lib</v>
      </c>
      <c r="J679" t="str">
        <f>INDEX(products!$A$1:$G$49, MATCH(orders!$D679, products!$A$1:$A$49, 0), MATCH(orders!J$1, products!$A$1:$G$1, 0))</f>
        <v>M</v>
      </c>
      <c r="K679" s="4">
        <f>INDEX(products!$A$1:$G$49, MATCH(orders!$D679, products!$A$1:$A$49, 0), MATCH(orders!K$1, products!$A$1:$G$1, 0))</f>
        <v>0.5</v>
      </c>
      <c r="L679" s="5">
        <f>INDEX(products!$A$1:$G$49, MATCH(orders!$D679, products!$A$1:$A$49, 0), MATCH(orders!L$1, products!$A$1:$G$1, 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 MATCH(orders!$D680, products!$A$1:$A$49, 0), MATCH(orders!I$1, products!$A$1:$G$1, 0))</f>
        <v>Ara</v>
      </c>
      <c r="J680" t="str">
        <f>INDEX(products!$A$1:$G$49, MATCH(orders!$D680, products!$A$1:$A$49, 0), MATCH(orders!J$1, products!$A$1:$G$1, 0))</f>
        <v>L</v>
      </c>
      <c r="K680" s="4">
        <f>INDEX(products!$A$1:$G$49, MATCH(orders!$D680, products!$A$1:$A$49, 0), MATCH(orders!K$1, products!$A$1:$G$1, 0))</f>
        <v>2.5</v>
      </c>
      <c r="L680" s="5">
        <f>INDEX(products!$A$1:$G$49, MATCH(orders!$D680, products!$A$1:$A$49, 0), MATCH(orders!L$1, products!$A$1:$G$1, 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 MATCH(orders!$D681, products!$A$1:$A$49, 0), MATCH(orders!I$1, products!$A$1:$G$1, 0))</f>
        <v>Rob</v>
      </c>
      <c r="J681" t="str">
        <f>INDEX(products!$A$1:$G$49, MATCH(orders!$D681, products!$A$1:$A$49, 0), MATCH(orders!J$1, products!$A$1:$G$1, 0))</f>
        <v>L</v>
      </c>
      <c r="K681" s="4">
        <f>INDEX(products!$A$1:$G$49, MATCH(orders!$D681, products!$A$1:$A$49, 0), MATCH(orders!K$1, products!$A$1:$G$1, 0))</f>
        <v>2.5</v>
      </c>
      <c r="L681" s="5">
        <f>INDEX(products!$A$1:$G$49, MATCH(orders!$D681, products!$A$1:$A$49, 0), MATCH(orders!L$1, products!$A$1:$G$1, 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 MATCH(orders!$D682, products!$A$1:$A$49, 0), MATCH(orders!I$1, products!$A$1:$G$1, 0))</f>
        <v>Ara</v>
      </c>
      <c r="J682" t="str">
        <f>INDEX(products!$A$1:$G$49, MATCH(orders!$D682, products!$A$1:$A$49, 0), MATCH(orders!J$1, products!$A$1:$G$1, 0))</f>
        <v>M</v>
      </c>
      <c r="K682" s="4">
        <f>INDEX(products!$A$1:$G$49, MATCH(orders!$D682, products!$A$1:$A$49, 0), MATCH(orders!K$1, products!$A$1:$G$1, 0))</f>
        <v>1</v>
      </c>
      <c r="L682" s="5">
        <f>INDEX(products!$A$1:$G$49, MATCH(orders!$D682, products!$A$1:$A$49, 0), MATCH(orders!L$1, products!$A$1:$G$1, 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 MATCH(orders!$D683, products!$A$1:$A$49, 0), MATCH(orders!I$1, products!$A$1:$G$1, 0))</f>
        <v>Lib</v>
      </c>
      <c r="J683" t="str">
        <f>INDEX(products!$A$1:$G$49, MATCH(orders!$D683, products!$A$1:$A$49, 0), MATCH(orders!J$1, products!$A$1:$G$1, 0))</f>
        <v>L</v>
      </c>
      <c r="K683" s="4">
        <f>INDEX(products!$A$1:$G$49, MATCH(orders!$D683, products!$A$1:$A$49, 0), MATCH(orders!K$1, products!$A$1:$G$1, 0))</f>
        <v>0.2</v>
      </c>
      <c r="L683" s="5">
        <f>INDEX(products!$A$1:$G$49, MATCH(orders!$D683, products!$A$1:$A$49, 0), MATCH(orders!L$1, products!$A$1:$G$1, 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 MATCH(orders!$D684, products!$A$1:$A$49, 0), MATCH(orders!I$1, products!$A$1:$G$1, 0))</f>
        <v>Exc</v>
      </c>
      <c r="J684" t="str">
        <f>INDEX(products!$A$1:$G$49, MATCH(orders!$D684, products!$A$1:$A$49, 0), MATCH(orders!J$1, products!$A$1:$G$1, 0))</f>
        <v>M</v>
      </c>
      <c r="K684" s="4">
        <f>INDEX(products!$A$1:$G$49, MATCH(orders!$D684, products!$A$1:$A$49, 0), MATCH(orders!K$1, products!$A$1:$G$1, 0))</f>
        <v>0.2</v>
      </c>
      <c r="L684" s="5">
        <f>INDEX(products!$A$1:$G$49, MATCH(orders!$D684, products!$A$1:$A$49, 0), MATCH(orders!L$1, products!$A$1:$G$1, 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 MATCH(orders!$D685, products!$A$1:$A$49, 0), MATCH(orders!I$1, products!$A$1:$G$1, 0))</f>
        <v>Lib</v>
      </c>
      <c r="J685" t="str">
        <f>INDEX(products!$A$1:$G$49, MATCH(orders!$D685, products!$A$1:$A$49, 0), MATCH(orders!J$1, products!$A$1:$G$1, 0))</f>
        <v>D</v>
      </c>
      <c r="K685" s="4">
        <f>INDEX(products!$A$1:$G$49, MATCH(orders!$D685, products!$A$1:$A$49, 0), MATCH(orders!K$1, products!$A$1:$G$1, 0))</f>
        <v>0.5</v>
      </c>
      <c r="L685" s="5">
        <f>INDEX(products!$A$1:$G$49, MATCH(orders!$D685, products!$A$1:$A$49, 0), MATCH(orders!L$1, products!$A$1:$G$1, 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 MATCH(orders!$D686, products!$A$1:$A$49, 0), MATCH(orders!I$1, products!$A$1:$G$1, 0))</f>
        <v>Rob</v>
      </c>
      <c r="J686" t="str">
        <f>INDEX(products!$A$1:$G$49, MATCH(orders!$D686, products!$A$1:$A$49, 0), MATCH(orders!J$1, products!$A$1:$G$1, 0))</f>
        <v>L</v>
      </c>
      <c r="K686" s="4">
        <f>INDEX(products!$A$1:$G$49, MATCH(orders!$D686, products!$A$1:$A$49, 0), MATCH(orders!K$1, products!$A$1:$G$1, 0))</f>
        <v>1</v>
      </c>
      <c r="L686" s="5">
        <f>INDEX(products!$A$1:$G$49, MATCH(orders!$D686, products!$A$1:$A$49, 0), MATCH(orders!L$1, products!$A$1:$G$1, 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 MATCH(orders!$D687, products!$A$1:$A$49, 0), MATCH(orders!I$1, products!$A$1:$G$1, 0))</f>
        <v>Lib</v>
      </c>
      <c r="J687" t="str">
        <f>INDEX(products!$A$1:$G$49, MATCH(orders!$D687, products!$A$1:$A$49, 0), MATCH(orders!J$1, products!$A$1:$G$1, 0))</f>
        <v>L</v>
      </c>
      <c r="K687" s="4">
        <f>INDEX(products!$A$1:$G$49, MATCH(orders!$D687, products!$A$1:$A$49, 0), MATCH(orders!K$1, products!$A$1:$G$1, 0))</f>
        <v>2.5</v>
      </c>
      <c r="L687" s="5">
        <f>INDEX(products!$A$1:$G$49, MATCH(orders!$D687, products!$A$1:$A$49, 0), MATCH(orders!L$1, products!$A$1:$G$1, 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 MATCH(orders!$D688, products!$A$1:$A$49, 0), MATCH(orders!I$1, products!$A$1:$G$1, 0))</f>
        <v>Rob</v>
      </c>
      <c r="J688" t="str">
        <f>INDEX(products!$A$1:$G$49, MATCH(orders!$D688, products!$A$1:$A$49, 0), MATCH(orders!J$1, products!$A$1:$G$1, 0))</f>
        <v>D</v>
      </c>
      <c r="K688" s="4">
        <f>INDEX(products!$A$1:$G$49, MATCH(orders!$D688, products!$A$1:$A$49, 0), MATCH(orders!K$1, products!$A$1:$G$1, 0))</f>
        <v>0.2</v>
      </c>
      <c r="L688" s="5">
        <f>INDEX(products!$A$1:$G$49, MATCH(orders!$D688, products!$A$1:$A$49, 0), MATCH(orders!L$1, products!$A$1:$G$1, 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 MATCH(orders!$D689, products!$A$1:$A$49, 0), MATCH(orders!I$1, products!$A$1:$G$1, 0))</f>
        <v>Exc</v>
      </c>
      <c r="J689" t="str">
        <f>INDEX(products!$A$1:$G$49, MATCH(orders!$D689, products!$A$1:$A$49, 0), MATCH(orders!J$1, products!$A$1:$G$1, 0))</f>
        <v>M</v>
      </c>
      <c r="K689" s="4">
        <f>INDEX(products!$A$1:$G$49, MATCH(orders!$D689, products!$A$1:$A$49, 0), MATCH(orders!K$1, products!$A$1:$G$1, 0))</f>
        <v>0.5</v>
      </c>
      <c r="L689" s="5">
        <f>INDEX(products!$A$1:$G$49, MATCH(orders!$D689, products!$A$1:$A$49, 0), MATCH(orders!L$1, products!$A$1:$G$1, 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 MATCH(orders!$D690, products!$A$1:$A$49, 0), MATCH(orders!I$1, products!$A$1:$G$1, 0))</f>
        <v>Ara</v>
      </c>
      <c r="J690" t="str">
        <f>INDEX(products!$A$1:$G$49, MATCH(orders!$D690, products!$A$1:$A$49, 0), MATCH(orders!J$1, products!$A$1:$G$1, 0))</f>
        <v>L</v>
      </c>
      <c r="K690" s="4">
        <f>INDEX(products!$A$1:$G$49, MATCH(orders!$D690, products!$A$1:$A$49, 0), MATCH(orders!K$1, products!$A$1:$G$1, 0))</f>
        <v>1</v>
      </c>
      <c r="L690" s="5">
        <f>INDEX(products!$A$1:$G$49, MATCH(orders!$D690, products!$A$1:$A$49, 0), MATCH(orders!L$1, products!$A$1:$G$1, 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 MATCH(orders!$D691, products!$A$1:$A$49, 0), MATCH(orders!I$1, products!$A$1:$G$1, 0))</f>
        <v>Ara</v>
      </c>
      <c r="J691" t="str">
        <f>INDEX(products!$A$1:$G$49, MATCH(orders!$D691, products!$A$1:$A$49, 0), MATCH(orders!J$1, products!$A$1:$G$1, 0))</f>
        <v>M</v>
      </c>
      <c r="K691" s="4">
        <f>INDEX(products!$A$1:$G$49, MATCH(orders!$D691, products!$A$1:$A$49, 0), MATCH(orders!K$1, products!$A$1:$G$1, 0))</f>
        <v>0.5</v>
      </c>
      <c r="L691" s="5">
        <f>INDEX(products!$A$1:$G$49, MATCH(orders!$D691, products!$A$1:$A$49, 0), MATCH(orders!L$1, products!$A$1:$G$1, 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 MATCH(orders!$D692, products!$A$1:$A$49, 0), MATCH(orders!I$1, products!$A$1:$G$1, 0))</f>
        <v>Lib</v>
      </c>
      <c r="J692" t="str">
        <f>INDEX(products!$A$1:$G$49, MATCH(orders!$D692, products!$A$1:$A$49, 0), MATCH(orders!J$1, products!$A$1:$G$1, 0))</f>
        <v>D</v>
      </c>
      <c r="K692" s="4">
        <f>INDEX(products!$A$1:$G$49, MATCH(orders!$D692, products!$A$1:$A$49, 0), MATCH(orders!K$1, products!$A$1:$G$1, 0))</f>
        <v>2.5</v>
      </c>
      <c r="L692" s="5">
        <f>INDEX(products!$A$1:$G$49, MATCH(orders!$D692, products!$A$1:$A$49, 0), MATCH(orders!L$1, products!$A$1:$G$1, 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 MATCH(orders!$D693, products!$A$1:$A$49, 0), MATCH(orders!I$1, products!$A$1:$G$1, 0))</f>
        <v>Ara</v>
      </c>
      <c r="J693" t="str">
        <f>INDEX(products!$A$1:$G$49, MATCH(orders!$D693, products!$A$1:$A$49, 0), MATCH(orders!J$1, products!$A$1:$G$1, 0))</f>
        <v>M</v>
      </c>
      <c r="K693" s="4">
        <f>INDEX(products!$A$1:$G$49, MATCH(orders!$D693, products!$A$1:$A$49, 0), MATCH(orders!K$1, products!$A$1:$G$1, 0))</f>
        <v>1</v>
      </c>
      <c r="L693" s="5">
        <f>INDEX(products!$A$1:$G$49, MATCH(orders!$D693, products!$A$1:$A$49, 0), MATCH(orders!L$1, products!$A$1:$G$1, 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 MATCH(orders!$D694, products!$A$1:$A$49, 0), MATCH(orders!I$1, products!$A$1:$G$1, 0))</f>
        <v>Lib</v>
      </c>
      <c r="J694" t="str">
        <f>INDEX(products!$A$1:$G$49, MATCH(orders!$D694, products!$A$1:$A$49, 0), MATCH(orders!J$1, products!$A$1:$G$1, 0))</f>
        <v>D</v>
      </c>
      <c r="K694" s="4">
        <f>INDEX(products!$A$1:$G$49, MATCH(orders!$D694, products!$A$1:$A$49, 0), MATCH(orders!K$1, products!$A$1:$G$1, 0))</f>
        <v>1</v>
      </c>
      <c r="L694" s="5">
        <f>INDEX(products!$A$1:$G$49, MATCH(orders!$D694, products!$A$1:$A$49, 0), MATCH(orders!L$1, products!$A$1:$G$1, 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 MATCH(orders!$D695, products!$A$1:$A$49, 0), MATCH(orders!I$1, products!$A$1:$G$1, 0))</f>
        <v>Ara</v>
      </c>
      <c r="J695" t="str">
        <f>INDEX(products!$A$1:$G$49, MATCH(orders!$D695, products!$A$1:$A$49, 0), MATCH(orders!J$1, products!$A$1:$G$1, 0))</f>
        <v>M</v>
      </c>
      <c r="K695" s="4">
        <f>INDEX(products!$A$1:$G$49, MATCH(orders!$D695, products!$A$1:$A$49, 0), MATCH(orders!K$1, products!$A$1:$G$1, 0))</f>
        <v>2.5</v>
      </c>
      <c r="L695" s="5">
        <f>INDEX(products!$A$1:$G$49, MATCH(orders!$D695, products!$A$1:$A$49, 0), MATCH(orders!L$1, products!$A$1:$G$1, 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 MATCH(orders!$D696, products!$A$1:$A$49, 0), MATCH(orders!I$1, products!$A$1:$G$1, 0))</f>
        <v>Exc</v>
      </c>
      <c r="J696" t="str">
        <f>INDEX(products!$A$1:$G$49, MATCH(orders!$D696, products!$A$1:$A$49, 0), MATCH(orders!J$1, products!$A$1:$G$1, 0))</f>
        <v>D</v>
      </c>
      <c r="K696" s="4">
        <f>INDEX(products!$A$1:$G$49, MATCH(orders!$D696, products!$A$1:$A$49, 0), MATCH(orders!K$1, products!$A$1:$G$1, 0))</f>
        <v>0.5</v>
      </c>
      <c r="L696" s="5">
        <f>INDEX(products!$A$1:$G$49, MATCH(orders!$D696, products!$A$1:$A$49, 0), MATCH(orders!L$1, products!$A$1:$G$1, 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 MATCH(orders!$D697, products!$A$1:$A$49, 0), MATCH(orders!I$1, products!$A$1:$G$1, 0))</f>
        <v>Lib</v>
      </c>
      <c r="J697" t="str">
        <f>INDEX(products!$A$1:$G$49, MATCH(orders!$D697, products!$A$1:$A$49, 0), MATCH(orders!J$1, products!$A$1:$G$1, 0))</f>
        <v>L</v>
      </c>
      <c r="K697" s="4">
        <f>INDEX(products!$A$1:$G$49, MATCH(orders!$D697, products!$A$1:$A$49, 0), MATCH(orders!K$1, products!$A$1:$G$1, 0))</f>
        <v>2.5</v>
      </c>
      <c r="L697" s="5">
        <f>INDEX(products!$A$1:$G$49, MATCH(orders!$D697, products!$A$1:$A$49, 0), MATCH(orders!L$1, products!$A$1:$G$1, 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 MATCH(orders!$D698, products!$A$1:$A$49, 0), MATCH(orders!I$1, products!$A$1:$G$1, 0))</f>
        <v>Lib</v>
      </c>
      <c r="J698" t="str">
        <f>INDEX(products!$A$1:$G$49, MATCH(orders!$D698, products!$A$1:$A$49, 0), MATCH(orders!J$1, products!$A$1:$G$1, 0))</f>
        <v>D</v>
      </c>
      <c r="K698" s="4">
        <f>INDEX(products!$A$1:$G$49, MATCH(orders!$D698, products!$A$1:$A$49, 0), MATCH(orders!K$1, products!$A$1:$G$1, 0))</f>
        <v>0.5</v>
      </c>
      <c r="L698" s="5">
        <f>INDEX(products!$A$1:$G$49, MATCH(orders!$D698, products!$A$1:$A$49, 0), MATCH(orders!L$1, products!$A$1:$G$1, 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 MATCH(orders!$D699, products!$A$1:$A$49, 0), MATCH(orders!I$1, products!$A$1:$G$1, 0))</f>
        <v>Ara</v>
      </c>
      <c r="J699" t="str">
        <f>INDEX(products!$A$1:$G$49, MATCH(orders!$D699, products!$A$1:$A$49, 0), MATCH(orders!J$1, products!$A$1:$G$1, 0))</f>
        <v>M</v>
      </c>
      <c r="K699" s="4">
        <f>INDEX(products!$A$1:$G$49, MATCH(orders!$D699, products!$A$1:$A$49, 0), MATCH(orders!K$1, products!$A$1:$G$1, 0))</f>
        <v>0.5</v>
      </c>
      <c r="L699" s="5">
        <f>INDEX(products!$A$1:$G$49, MATCH(orders!$D699, products!$A$1:$A$49, 0), MATCH(orders!L$1, products!$A$1:$G$1, 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 MATCH(orders!$D700, products!$A$1:$A$49, 0), MATCH(orders!I$1, products!$A$1:$G$1, 0))</f>
        <v>Lib</v>
      </c>
      <c r="J700" t="str">
        <f>INDEX(products!$A$1:$G$49, MATCH(orders!$D700, products!$A$1:$A$49, 0), MATCH(orders!J$1, products!$A$1:$G$1, 0))</f>
        <v>D</v>
      </c>
      <c r="K700" s="4">
        <f>INDEX(products!$A$1:$G$49, MATCH(orders!$D700, products!$A$1:$A$49, 0), MATCH(orders!K$1, products!$A$1:$G$1, 0))</f>
        <v>1</v>
      </c>
      <c r="L700" s="5">
        <f>INDEX(products!$A$1:$G$49, MATCH(orders!$D700, products!$A$1:$A$49, 0), MATCH(orders!L$1, products!$A$1:$G$1, 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 MATCH(orders!$D701, products!$A$1:$A$49, 0), MATCH(orders!I$1, products!$A$1:$G$1, 0))</f>
        <v>Ara</v>
      </c>
      <c r="J701" t="str">
        <f>INDEX(products!$A$1:$G$49, MATCH(orders!$D701, products!$A$1:$A$49, 0), MATCH(orders!J$1, products!$A$1:$G$1, 0))</f>
        <v>D</v>
      </c>
      <c r="K701" s="4">
        <f>INDEX(products!$A$1:$G$49, MATCH(orders!$D701, products!$A$1:$A$49, 0), MATCH(orders!K$1, products!$A$1:$G$1, 0))</f>
        <v>0.5</v>
      </c>
      <c r="L701" s="5">
        <f>INDEX(products!$A$1:$G$49, MATCH(orders!$D701, products!$A$1:$A$49, 0), MATCH(orders!L$1, products!$A$1:$G$1, 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 MATCH(orders!$D702, products!$A$1:$A$49, 0), MATCH(orders!I$1, products!$A$1:$G$1, 0))</f>
        <v>Lib</v>
      </c>
      <c r="J702" t="str">
        <f>INDEX(products!$A$1:$G$49, MATCH(orders!$D702, products!$A$1:$A$49, 0), MATCH(orders!J$1, products!$A$1:$G$1, 0))</f>
        <v>L</v>
      </c>
      <c r="K702" s="4">
        <f>INDEX(products!$A$1:$G$49, MATCH(orders!$D702, products!$A$1:$A$49, 0), MATCH(orders!K$1, products!$A$1:$G$1, 0))</f>
        <v>0.5</v>
      </c>
      <c r="L702" s="5">
        <f>INDEX(products!$A$1:$G$49, MATCH(orders!$D702, products!$A$1:$A$49, 0), MATCH(orders!L$1, products!$A$1:$G$1, 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 MATCH(orders!$D703, products!$A$1:$A$49, 0), MATCH(orders!I$1, products!$A$1:$G$1, 0))</f>
        <v>Ara</v>
      </c>
      <c r="J703" t="str">
        <f>INDEX(products!$A$1:$G$49, MATCH(orders!$D703, products!$A$1:$A$49, 0), MATCH(orders!J$1, products!$A$1:$G$1, 0))</f>
        <v>D</v>
      </c>
      <c r="K703" s="4">
        <f>INDEX(products!$A$1:$G$49, MATCH(orders!$D703, products!$A$1:$A$49, 0), MATCH(orders!K$1, products!$A$1:$G$1, 0))</f>
        <v>0.5</v>
      </c>
      <c r="L703" s="5">
        <f>INDEX(products!$A$1:$G$49, MATCH(orders!$D703, products!$A$1:$A$49, 0), MATCH(orders!L$1, products!$A$1:$G$1, 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 MATCH(orders!$D704, products!$A$1:$A$49, 0), MATCH(orders!I$1, products!$A$1:$G$1, 0))</f>
        <v>Ara</v>
      </c>
      <c r="J704" t="str">
        <f>INDEX(products!$A$1:$G$49, MATCH(orders!$D704, products!$A$1:$A$49, 0), MATCH(orders!J$1, products!$A$1:$G$1, 0))</f>
        <v>L</v>
      </c>
      <c r="K704" s="4">
        <f>INDEX(products!$A$1:$G$49, MATCH(orders!$D704, products!$A$1:$A$49, 0), MATCH(orders!K$1, products!$A$1:$G$1, 0))</f>
        <v>0.5</v>
      </c>
      <c r="L704" s="5">
        <f>INDEX(products!$A$1:$G$49, MATCH(orders!$D704, products!$A$1:$A$49, 0), MATCH(orders!L$1, products!$A$1:$G$1, 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 MATCH(orders!$D705, products!$A$1:$A$49, 0), MATCH(orders!I$1, products!$A$1:$G$1, 0))</f>
        <v>Lib</v>
      </c>
      <c r="J705" t="str">
        <f>INDEX(products!$A$1:$G$49, MATCH(orders!$D705, products!$A$1:$A$49, 0), MATCH(orders!J$1, products!$A$1:$G$1, 0))</f>
        <v>D</v>
      </c>
      <c r="K705" s="4">
        <f>INDEX(products!$A$1:$G$49, MATCH(orders!$D705, products!$A$1:$A$49, 0), MATCH(orders!K$1, products!$A$1:$G$1, 0))</f>
        <v>2.5</v>
      </c>
      <c r="L705" s="5">
        <f>INDEX(products!$A$1:$G$49, MATCH(orders!$D705, products!$A$1:$A$49, 0), MATCH(orders!L$1, products!$A$1:$G$1, 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 MATCH(orders!$D706, products!$A$1:$A$49, 0), MATCH(orders!I$1, products!$A$1:$G$1, 0))</f>
        <v>Exc</v>
      </c>
      <c r="J706" t="str">
        <f>INDEX(products!$A$1:$G$49, MATCH(orders!$D706, products!$A$1:$A$49, 0), MATCH(orders!J$1, products!$A$1:$G$1, 0))</f>
        <v>D</v>
      </c>
      <c r="K706" s="4">
        <f>INDEX(products!$A$1:$G$49, MATCH(orders!$D706, products!$A$1:$A$49, 0), MATCH(orders!K$1, products!$A$1:$G$1, 0))</f>
        <v>0.2</v>
      </c>
      <c r="L706" s="5">
        <f>INDEX(products!$A$1:$G$49, MATCH(orders!$D706, products!$A$1:$A$49, 0), MATCH(orders!L$1, products!$A$1:$G$1, 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 MATCH(orders!$D707, products!$A$1:$A$49, 0), MATCH(orders!I$1, products!$A$1:$G$1, 0))</f>
        <v>Exc</v>
      </c>
      <c r="J707" t="str">
        <f>INDEX(products!$A$1:$G$49, MATCH(orders!$D707, products!$A$1:$A$49, 0), MATCH(orders!J$1, products!$A$1:$G$1, 0))</f>
        <v>L</v>
      </c>
      <c r="K707" s="4">
        <f>INDEX(products!$A$1:$G$49, MATCH(orders!$D707, products!$A$1:$A$49, 0), MATCH(orders!K$1, products!$A$1:$G$1, 0))</f>
        <v>0.5</v>
      </c>
      <c r="L707" s="5">
        <f>INDEX(products!$A$1:$G$49, MATCH(orders!$D707, products!$A$1:$A$49, 0), MATCH(orders!L$1, products!$A$1:$G$1, 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 MATCH(orders!$D708, products!$A$1:$A$49, 0), MATCH(orders!I$1, products!$A$1:$G$1, 0))</f>
        <v>Exc</v>
      </c>
      <c r="J708" t="str">
        <f>INDEX(products!$A$1:$G$49, MATCH(orders!$D708, products!$A$1:$A$49, 0), MATCH(orders!J$1, products!$A$1:$G$1, 0))</f>
        <v>M</v>
      </c>
      <c r="K708" s="4">
        <f>INDEX(products!$A$1:$G$49, MATCH(orders!$D708, products!$A$1:$A$49, 0), MATCH(orders!K$1, products!$A$1:$G$1, 0))</f>
        <v>0.2</v>
      </c>
      <c r="L708" s="5">
        <f>INDEX(products!$A$1:$G$49, MATCH(orders!$D708, products!$A$1:$A$49, 0), MATCH(orders!L$1, products!$A$1:$G$1, 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 MATCH(orders!$D709, products!$A$1:$A$49, 0), MATCH(orders!I$1, products!$A$1:$G$1, 0))</f>
        <v>Lib</v>
      </c>
      <c r="J709" t="str">
        <f>INDEX(products!$A$1:$G$49, MATCH(orders!$D709, products!$A$1:$A$49, 0), MATCH(orders!J$1, products!$A$1:$G$1, 0))</f>
        <v>D</v>
      </c>
      <c r="K709" s="4">
        <f>INDEX(products!$A$1:$G$49, MATCH(orders!$D709, products!$A$1:$A$49, 0), MATCH(orders!K$1, products!$A$1:$G$1, 0))</f>
        <v>1</v>
      </c>
      <c r="L709" s="5">
        <f>INDEX(products!$A$1:$G$49, MATCH(orders!$D709, products!$A$1:$A$49, 0), MATCH(orders!L$1, products!$A$1:$G$1, 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 MATCH(orders!$D710, products!$A$1:$A$49, 0), MATCH(orders!I$1, products!$A$1:$G$1, 0))</f>
        <v>Ara</v>
      </c>
      <c r="J710" t="str">
        <f>INDEX(products!$A$1:$G$49, MATCH(orders!$D710, products!$A$1:$A$49, 0), MATCH(orders!J$1, products!$A$1:$G$1, 0))</f>
        <v>M</v>
      </c>
      <c r="K710" s="4">
        <f>INDEX(products!$A$1:$G$49, MATCH(orders!$D710, products!$A$1:$A$49, 0), MATCH(orders!K$1, products!$A$1:$G$1, 0))</f>
        <v>0.5</v>
      </c>
      <c r="L710" s="5">
        <f>INDEX(products!$A$1:$G$49, MATCH(orders!$D710, products!$A$1:$A$49, 0), MATCH(orders!L$1, products!$A$1:$G$1, 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 MATCH(orders!$D711, products!$A$1:$A$49, 0), MATCH(orders!I$1, products!$A$1:$G$1, 0))</f>
        <v>Exc</v>
      </c>
      <c r="J711" t="str">
        <f>INDEX(products!$A$1:$G$49, MATCH(orders!$D711, products!$A$1:$A$49, 0), MATCH(orders!J$1, products!$A$1:$G$1, 0))</f>
        <v>L</v>
      </c>
      <c r="K711" s="4">
        <f>INDEX(products!$A$1:$G$49, MATCH(orders!$D711, products!$A$1:$A$49, 0), MATCH(orders!K$1, products!$A$1:$G$1, 0))</f>
        <v>0.5</v>
      </c>
      <c r="L711" s="5">
        <f>INDEX(products!$A$1:$G$49, MATCH(orders!$D711, products!$A$1:$A$49, 0), MATCH(orders!L$1, products!$A$1:$G$1, 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 MATCH(orders!$D712, products!$A$1:$A$49, 0), MATCH(orders!I$1, products!$A$1:$G$1, 0))</f>
        <v>Exc</v>
      </c>
      <c r="J712" t="str">
        <f>INDEX(products!$A$1:$G$49, MATCH(orders!$D712, products!$A$1:$A$49, 0), MATCH(orders!J$1, products!$A$1:$G$1, 0))</f>
        <v>M</v>
      </c>
      <c r="K712" s="4">
        <f>INDEX(products!$A$1:$G$49, MATCH(orders!$D712, products!$A$1:$A$49, 0), MATCH(orders!K$1, products!$A$1:$G$1, 0))</f>
        <v>0.5</v>
      </c>
      <c r="L712" s="5">
        <f>INDEX(products!$A$1:$G$49, MATCH(orders!$D712, products!$A$1:$A$49, 0), MATCH(orders!L$1, products!$A$1:$G$1, 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 MATCH(orders!$D713, products!$A$1:$A$49, 0), MATCH(orders!I$1, products!$A$1:$G$1, 0))</f>
        <v>Rob</v>
      </c>
      <c r="J713" t="str">
        <f>INDEX(products!$A$1:$G$49, MATCH(orders!$D713, products!$A$1:$A$49, 0), MATCH(orders!J$1, products!$A$1:$G$1, 0))</f>
        <v>M</v>
      </c>
      <c r="K713" s="4">
        <f>INDEX(products!$A$1:$G$49, MATCH(orders!$D713, products!$A$1:$A$49, 0), MATCH(orders!K$1, products!$A$1:$G$1, 0))</f>
        <v>0.2</v>
      </c>
      <c r="L713" s="5">
        <f>INDEX(products!$A$1:$G$49, MATCH(orders!$D713, products!$A$1:$A$49, 0), MATCH(orders!L$1, products!$A$1:$G$1, 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 MATCH(orders!$D714, products!$A$1:$A$49, 0), MATCH(orders!I$1, products!$A$1:$G$1, 0))</f>
        <v>Exc</v>
      </c>
      <c r="J714" t="str">
        <f>INDEX(products!$A$1:$G$49, MATCH(orders!$D714, products!$A$1:$A$49, 0), MATCH(orders!J$1, products!$A$1:$G$1, 0))</f>
        <v>M</v>
      </c>
      <c r="K714" s="4">
        <f>INDEX(products!$A$1:$G$49, MATCH(orders!$D714, products!$A$1:$A$49, 0), MATCH(orders!K$1, products!$A$1:$G$1, 0))</f>
        <v>0.5</v>
      </c>
      <c r="L714" s="5">
        <f>INDEX(products!$A$1:$G$49, MATCH(orders!$D714, products!$A$1:$A$49, 0), MATCH(orders!L$1, products!$A$1:$G$1, 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 MATCH(orders!$D715, products!$A$1:$A$49, 0), MATCH(orders!I$1, products!$A$1:$G$1, 0))</f>
        <v>Rob</v>
      </c>
      <c r="J715" t="str">
        <f>INDEX(products!$A$1:$G$49, MATCH(orders!$D715, products!$A$1:$A$49, 0), MATCH(orders!J$1, products!$A$1:$G$1, 0))</f>
        <v>M</v>
      </c>
      <c r="K715" s="4">
        <f>INDEX(products!$A$1:$G$49, MATCH(orders!$D715, products!$A$1:$A$49, 0), MATCH(orders!K$1, products!$A$1:$G$1, 0))</f>
        <v>0.2</v>
      </c>
      <c r="L715" s="5">
        <f>INDEX(products!$A$1:$G$49, MATCH(orders!$D715, products!$A$1:$A$49, 0), MATCH(orders!L$1, products!$A$1:$G$1, 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 MATCH(orders!$D716, products!$A$1:$A$49, 0), MATCH(orders!I$1, products!$A$1:$G$1, 0))</f>
        <v>Exc</v>
      </c>
      <c r="J716" t="str">
        <f>INDEX(products!$A$1:$G$49, MATCH(orders!$D716, products!$A$1:$A$49, 0), MATCH(orders!J$1, products!$A$1:$G$1, 0))</f>
        <v>D</v>
      </c>
      <c r="K716" s="4">
        <f>INDEX(products!$A$1:$G$49, MATCH(orders!$D716, products!$A$1:$A$49, 0), MATCH(orders!K$1, products!$A$1:$G$1, 0))</f>
        <v>0.2</v>
      </c>
      <c r="L716" s="5">
        <f>INDEX(products!$A$1:$G$49, MATCH(orders!$D716, products!$A$1:$A$49, 0), MATCH(orders!L$1, products!$A$1:$G$1, 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 MATCH(orders!$D717, products!$A$1:$A$49, 0), MATCH(orders!I$1, products!$A$1:$G$1, 0))</f>
        <v>Exc</v>
      </c>
      <c r="J717" t="str">
        <f>INDEX(products!$A$1:$G$49, MATCH(orders!$D717, products!$A$1:$A$49, 0), MATCH(orders!J$1, products!$A$1:$G$1, 0))</f>
        <v>L</v>
      </c>
      <c r="K717" s="4">
        <f>INDEX(products!$A$1:$G$49, MATCH(orders!$D717, products!$A$1:$A$49, 0), MATCH(orders!K$1, products!$A$1:$G$1, 0))</f>
        <v>1</v>
      </c>
      <c r="L717" s="5">
        <f>INDEX(products!$A$1:$G$49, MATCH(orders!$D717, products!$A$1:$A$49, 0), MATCH(orders!L$1, products!$A$1:$G$1, 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 MATCH(orders!$D718, products!$A$1:$A$49, 0), MATCH(orders!I$1, products!$A$1:$G$1, 0))</f>
        <v>Rob</v>
      </c>
      <c r="J718" t="str">
        <f>INDEX(products!$A$1:$G$49, MATCH(orders!$D718, products!$A$1:$A$49, 0), MATCH(orders!J$1, products!$A$1:$G$1, 0))</f>
        <v>L</v>
      </c>
      <c r="K718" s="4">
        <f>INDEX(products!$A$1:$G$49, MATCH(orders!$D718, products!$A$1:$A$49, 0), MATCH(orders!K$1, products!$A$1:$G$1, 0))</f>
        <v>1</v>
      </c>
      <c r="L718" s="5">
        <f>INDEX(products!$A$1:$G$49, MATCH(orders!$D718, products!$A$1:$A$49, 0), MATCH(orders!L$1, products!$A$1:$G$1, 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 MATCH(orders!$D719, products!$A$1:$A$49, 0), MATCH(orders!I$1, products!$A$1:$G$1, 0))</f>
        <v>Ara</v>
      </c>
      <c r="J719" t="str">
        <f>INDEX(products!$A$1:$G$49, MATCH(orders!$D719, products!$A$1:$A$49, 0), MATCH(orders!J$1, products!$A$1:$G$1, 0))</f>
        <v>D</v>
      </c>
      <c r="K719" s="4">
        <f>INDEX(products!$A$1:$G$49, MATCH(orders!$D719, products!$A$1:$A$49, 0), MATCH(orders!K$1, products!$A$1:$G$1, 0))</f>
        <v>2.5</v>
      </c>
      <c r="L719" s="5">
        <f>INDEX(products!$A$1:$G$49, MATCH(orders!$D719, products!$A$1:$A$49, 0), MATCH(orders!L$1, products!$A$1:$G$1, 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 MATCH(orders!$D720, products!$A$1:$A$49, 0), MATCH(orders!I$1, products!$A$1:$G$1, 0))</f>
        <v>Lib</v>
      </c>
      <c r="J720" t="str">
        <f>INDEX(products!$A$1:$G$49, MATCH(orders!$D720, products!$A$1:$A$49, 0), MATCH(orders!J$1, products!$A$1:$G$1, 0))</f>
        <v>D</v>
      </c>
      <c r="K720" s="4">
        <f>INDEX(products!$A$1:$G$49, MATCH(orders!$D720, products!$A$1:$A$49, 0), MATCH(orders!K$1, products!$A$1:$G$1, 0))</f>
        <v>1</v>
      </c>
      <c r="L720" s="5">
        <f>INDEX(products!$A$1:$G$49, MATCH(orders!$D720, products!$A$1:$A$49, 0), MATCH(orders!L$1, products!$A$1:$G$1, 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 MATCH(orders!$D721, products!$A$1:$A$49, 0), MATCH(orders!I$1, products!$A$1:$G$1, 0))</f>
        <v>Lib</v>
      </c>
      <c r="J721" t="str">
        <f>INDEX(products!$A$1:$G$49, MATCH(orders!$D721, products!$A$1:$A$49, 0), MATCH(orders!J$1, products!$A$1:$G$1, 0))</f>
        <v>L</v>
      </c>
      <c r="K721" s="4">
        <f>INDEX(products!$A$1:$G$49, MATCH(orders!$D721, products!$A$1:$A$49, 0), MATCH(orders!K$1, products!$A$1:$G$1, 0))</f>
        <v>1</v>
      </c>
      <c r="L721" s="5">
        <f>INDEX(products!$A$1:$G$49, MATCH(orders!$D721, products!$A$1:$A$49, 0), MATCH(orders!L$1, products!$A$1:$G$1, 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 MATCH(orders!$D722, products!$A$1:$A$49, 0), MATCH(orders!I$1, products!$A$1:$G$1, 0))</f>
        <v>Exc</v>
      </c>
      <c r="J722" t="str">
        <f>INDEX(products!$A$1:$G$49, MATCH(orders!$D722, products!$A$1:$A$49, 0), MATCH(orders!J$1, products!$A$1:$G$1, 0))</f>
        <v>D</v>
      </c>
      <c r="K722" s="4">
        <f>INDEX(products!$A$1:$G$49, MATCH(orders!$D722, products!$A$1:$A$49, 0), MATCH(orders!K$1, products!$A$1:$G$1, 0))</f>
        <v>0.5</v>
      </c>
      <c r="L722" s="5">
        <f>INDEX(products!$A$1:$G$49, MATCH(orders!$D722, products!$A$1:$A$49, 0), MATCH(orders!L$1, products!$A$1:$G$1, 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 MATCH(orders!$D723, products!$A$1:$A$49, 0), MATCH(orders!I$1, products!$A$1:$G$1, 0))</f>
        <v>Rob</v>
      </c>
      <c r="J723" t="str">
        <f>INDEX(products!$A$1:$G$49, MATCH(orders!$D723, products!$A$1:$A$49, 0), MATCH(orders!J$1, products!$A$1:$G$1, 0))</f>
        <v>M</v>
      </c>
      <c r="K723" s="4">
        <f>INDEX(products!$A$1:$G$49, MATCH(orders!$D723, products!$A$1:$A$49, 0), MATCH(orders!K$1, products!$A$1:$G$1, 0))</f>
        <v>0.2</v>
      </c>
      <c r="L723" s="5">
        <f>INDEX(products!$A$1:$G$49, MATCH(orders!$D723, products!$A$1:$A$49, 0), MATCH(orders!L$1, products!$A$1:$G$1, 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 MATCH(orders!$D724, products!$A$1:$A$49, 0), MATCH(orders!I$1, products!$A$1:$G$1, 0))</f>
        <v>Exc</v>
      </c>
      <c r="J724" t="str">
        <f>INDEX(products!$A$1:$G$49, MATCH(orders!$D724, products!$A$1:$A$49, 0), MATCH(orders!J$1, products!$A$1:$G$1, 0))</f>
        <v>D</v>
      </c>
      <c r="K724" s="4">
        <f>INDEX(products!$A$1:$G$49, MATCH(orders!$D724, products!$A$1:$A$49, 0), MATCH(orders!K$1, products!$A$1:$G$1, 0))</f>
        <v>1</v>
      </c>
      <c r="L724" s="5">
        <f>INDEX(products!$A$1:$G$49, MATCH(orders!$D724, products!$A$1:$A$49, 0), MATCH(orders!L$1, products!$A$1:$G$1, 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 MATCH(orders!$D725, products!$A$1:$A$49, 0), MATCH(orders!I$1, products!$A$1:$G$1, 0))</f>
        <v>Exc</v>
      </c>
      <c r="J725" t="str">
        <f>INDEX(products!$A$1:$G$49, MATCH(orders!$D725, products!$A$1:$A$49, 0), MATCH(orders!J$1, products!$A$1:$G$1, 0))</f>
        <v>M</v>
      </c>
      <c r="K725" s="4">
        <f>INDEX(products!$A$1:$G$49, MATCH(orders!$D725, products!$A$1:$A$49, 0), MATCH(orders!K$1, products!$A$1:$G$1, 0))</f>
        <v>2.5</v>
      </c>
      <c r="L725" s="5">
        <f>INDEX(products!$A$1:$G$49, MATCH(orders!$D725, products!$A$1:$A$49, 0), MATCH(orders!L$1, products!$A$1:$G$1, 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 MATCH(orders!$D726, products!$A$1:$A$49, 0), MATCH(orders!I$1, products!$A$1:$G$1, 0))</f>
        <v>Ara</v>
      </c>
      <c r="J726" t="str">
        <f>INDEX(products!$A$1:$G$49, MATCH(orders!$D726, products!$A$1:$A$49, 0), MATCH(orders!J$1, products!$A$1:$G$1, 0))</f>
        <v>M</v>
      </c>
      <c r="K726" s="4">
        <f>INDEX(products!$A$1:$G$49, MATCH(orders!$D726, products!$A$1:$A$49, 0), MATCH(orders!K$1, products!$A$1:$G$1, 0))</f>
        <v>0.2</v>
      </c>
      <c r="L726" s="5">
        <f>INDEX(products!$A$1:$G$49, MATCH(orders!$D726, products!$A$1:$A$49, 0), MATCH(orders!L$1, products!$A$1:$G$1, 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 MATCH(orders!$D727, products!$A$1:$A$49, 0), MATCH(orders!I$1, products!$A$1:$G$1, 0))</f>
        <v>Ara</v>
      </c>
      <c r="J727" t="str">
        <f>INDEX(products!$A$1:$G$49, MATCH(orders!$D727, products!$A$1:$A$49, 0), MATCH(orders!J$1, products!$A$1:$G$1, 0))</f>
        <v>L</v>
      </c>
      <c r="K727" s="4">
        <f>INDEX(products!$A$1:$G$49, MATCH(orders!$D727, products!$A$1:$A$49, 0), MATCH(orders!K$1, products!$A$1:$G$1, 0))</f>
        <v>0.2</v>
      </c>
      <c r="L727" s="5">
        <f>INDEX(products!$A$1:$G$49, MATCH(orders!$D727, products!$A$1:$A$49, 0), MATCH(orders!L$1, products!$A$1:$G$1, 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 MATCH(orders!$D728, products!$A$1:$A$49, 0), MATCH(orders!I$1, products!$A$1:$G$1, 0))</f>
        <v>Lib</v>
      </c>
      <c r="J728" t="str">
        <f>INDEX(products!$A$1:$G$49, MATCH(orders!$D728, products!$A$1:$A$49, 0), MATCH(orders!J$1, products!$A$1:$G$1, 0))</f>
        <v>L</v>
      </c>
      <c r="K728" s="4">
        <f>INDEX(products!$A$1:$G$49, MATCH(orders!$D728, products!$A$1:$A$49, 0), MATCH(orders!K$1, products!$A$1:$G$1, 0))</f>
        <v>2.5</v>
      </c>
      <c r="L728" s="5">
        <f>INDEX(products!$A$1:$G$49, MATCH(orders!$D728, products!$A$1:$A$49, 0), MATCH(orders!L$1, products!$A$1:$G$1, 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 MATCH(orders!$D729, products!$A$1:$A$49, 0), MATCH(orders!I$1, products!$A$1:$G$1, 0))</f>
        <v>Rob</v>
      </c>
      <c r="J729" t="str">
        <f>INDEX(products!$A$1:$G$49, MATCH(orders!$D729, products!$A$1:$A$49, 0), MATCH(orders!J$1, products!$A$1:$G$1, 0))</f>
        <v>M</v>
      </c>
      <c r="K729" s="4">
        <f>INDEX(products!$A$1:$G$49, MATCH(orders!$D729, products!$A$1:$A$49, 0), MATCH(orders!K$1, products!$A$1:$G$1, 0))</f>
        <v>0.5</v>
      </c>
      <c r="L729" s="5">
        <f>INDEX(products!$A$1:$G$49, MATCH(orders!$D729, products!$A$1:$A$49, 0), MATCH(orders!L$1, products!$A$1:$G$1, 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 MATCH(orders!$D730, products!$A$1:$A$49, 0), MATCH(orders!I$1, products!$A$1:$G$1, 0))</f>
        <v>Exc</v>
      </c>
      <c r="J730" t="str">
        <f>INDEX(products!$A$1:$G$49, MATCH(orders!$D730, products!$A$1:$A$49, 0), MATCH(orders!J$1, products!$A$1:$G$1, 0))</f>
        <v>D</v>
      </c>
      <c r="K730" s="4">
        <f>INDEX(products!$A$1:$G$49, MATCH(orders!$D730, products!$A$1:$A$49, 0), MATCH(orders!K$1, products!$A$1:$G$1, 0))</f>
        <v>0.5</v>
      </c>
      <c r="L730" s="5">
        <f>INDEX(products!$A$1:$G$49, MATCH(orders!$D730, products!$A$1:$A$49, 0), MATCH(orders!L$1, products!$A$1:$G$1, 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 MATCH(orders!$D731, products!$A$1:$A$49, 0), MATCH(orders!I$1, products!$A$1:$G$1, 0))</f>
        <v>Lib</v>
      </c>
      <c r="J731" t="str">
        <f>INDEX(products!$A$1:$G$49, MATCH(orders!$D731, products!$A$1:$A$49, 0), MATCH(orders!J$1, products!$A$1:$G$1, 0))</f>
        <v>M</v>
      </c>
      <c r="K731" s="4">
        <f>INDEX(products!$A$1:$G$49, MATCH(orders!$D731, products!$A$1:$A$49, 0), MATCH(orders!K$1, products!$A$1:$G$1, 0))</f>
        <v>0.2</v>
      </c>
      <c r="L731" s="5">
        <f>INDEX(products!$A$1:$G$49, MATCH(orders!$D731, products!$A$1:$A$49, 0), MATCH(orders!L$1, products!$A$1:$G$1, 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 MATCH(orders!$D732, products!$A$1:$A$49, 0), MATCH(orders!I$1, products!$A$1:$G$1, 0))</f>
        <v>Lib</v>
      </c>
      <c r="J732" t="str">
        <f>INDEX(products!$A$1:$G$49, MATCH(orders!$D732, products!$A$1:$A$49, 0), MATCH(orders!J$1, products!$A$1:$G$1, 0))</f>
        <v>L</v>
      </c>
      <c r="K732" s="4">
        <f>INDEX(products!$A$1:$G$49, MATCH(orders!$D732, products!$A$1:$A$49, 0), MATCH(orders!K$1, products!$A$1:$G$1, 0))</f>
        <v>2.5</v>
      </c>
      <c r="L732" s="5">
        <f>INDEX(products!$A$1:$G$49, MATCH(orders!$D732, products!$A$1:$A$49, 0), MATCH(orders!L$1, products!$A$1:$G$1, 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 MATCH(orders!$D733, products!$A$1:$A$49, 0), MATCH(orders!I$1, products!$A$1:$G$1, 0))</f>
        <v>Lib</v>
      </c>
      <c r="J733" t="str">
        <f>INDEX(products!$A$1:$G$49, MATCH(orders!$D733, products!$A$1:$A$49, 0), MATCH(orders!J$1, products!$A$1:$G$1, 0))</f>
        <v>D</v>
      </c>
      <c r="K733" s="4">
        <f>INDEX(products!$A$1:$G$49, MATCH(orders!$D733, products!$A$1:$A$49, 0), MATCH(orders!K$1, products!$A$1:$G$1, 0))</f>
        <v>0.2</v>
      </c>
      <c r="L733" s="5">
        <f>INDEX(products!$A$1:$G$49, MATCH(orders!$D733, products!$A$1:$A$49, 0), MATCH(orders!L$1, products!$A$1:$G$1, 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 MATCH(orders!$D734, products!$A$1:$A$49, 0), MATCH(orders!I$1, products!$A$1:$G$1, 0))</f>
        <v>Exc</v>
      </c>
      <c r="J734" t="str">
        <f>INDEX(products!$A$1:$G$49, MATCH(orders!$D734, products!$A$1:$A$49, 0), MATCH(orders!J$1, products!$A$1:$G$1, 0))</f>
        <v>L</v>
      </c>
      <c r="K734" s="4">
        <f>INDEX(products!$A$1:$G$49, MATCH(orders!$D734, products!$A$1:$A$49, 0), MATCH(orders!K$1, products!$A$1:$G$1, 0))</f>
        <v>0.2</v>
      </c>
      <c r="L734" s="5">
        <f>INDEX(products!$A$1:$G$49, MATCH(orders!$D734, products!$A$1:$A$49, 0), MATCH(orders!L$1, products!$A$1:$G$1, 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 MATCH(orders!$D735, products!$A$1:$A$49, 0), MATCH(orders!I$1, products!$A$1:$G$1, 0))</f>
        <v>Lib</v>
      </c>
      <c r="J735" t="str">
        <f>INDEX(products!$A$1:$G$49, MATCH(orders!$D735, products!$A$1:$A$49, 0), MATCH(orders!J$1, products!$A$1:$G$1, 0))</f>
        <v>M</v>
      </c>
      <c r="K735" s="4">
        <f>INDEX(products!$A$1:$G$49, MATCH(orders!$D735, products!$A$1:$A$49, 0), MATCH(orders!K$1, products!$A$1:$G$1, 0))</f>
        <v>2.5</v>
      </c>
      <c r="L735" s="5">
        <f>INDEX(products!$A$1:$G$49, MATCH(orders!$D735, products!$A$1:$A$49, 0), MATCH(orders!L$1, products!$A$1:$G$1, 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 MATCH(orders!$D736, products!$A$1:$A$49, 0), MATCH(orders!I$1, products!$A$1:$G$1, 0))</f>
        <v>Rob</v>
      </c>
      <c r="J736" t="str">
        <f>INDEX(products!$A$1:$G$49, MATCH(orders!$D736, products!$A$1:$A$49, 0), MATCH(orders!J$1, products!$A$1:$G$1, 0))</f>
        <v>D</v>
      </c>
      <c r="K736" s="4">
        <f>INDEX(products!$A$1:$G$49, MATCH(orders!$D736, products!$A$1:$A$49, 0), MATCH(orders!K$1, products!$A$1:$G$1, 0))</f>
        <v>0.2</v>
      </c>
      <c r="L736" s="5">
        <f>INDEX(products!$A$1:$G$49, MATCH(orders!$D736, products!$A$1:$A$49, 0), MATCH(orders!L$1, products!$A$1:$G$1, 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 MATCH(orders!$D737, products!$A$1:$A$49, 0), MATCH(orders!I$1, products!$A$1:$G$1, 0))</f>
        <v>Exc</v>
      </c>
      <c r="J737" t="str">
        <f>INDEX(products!$A$1:$G$49, MATCH(orders!$D737, products!$A$1:$A$49, 0), MATCH(orders!J$1, products!$A$1:$G$1, 0))</f>
        <v>D</v>
      </c>
      <c r="K737" s="4">
        <f>INDEX(products!$A$1:$G$49, MATCH(orders!$D737, products!$A$1:$A$49, 0), MATCH(orders!K$1, products!$A$1:$G$1, 0))</f>
        <v>0.2</v>
      </c>
      <c r="L737" s="5">
        <f>INDEX(products!$A$1:$G$49, MATCH(orders!$D737, products!$A$1:$A$49, 0), MATCH(orders!L$1, products!$A$1:$G$1, 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 MATCH(orders!$D738, products!$A$1:$A$49, 0), MATCH(orders!I$1, products!$A$1:$G$1, 0))</f>
        <v>Lib</v>
      </c>
      <c r="J738" t="str">
        <f>INDEX(products!$A$1:$G$49, MATCH(orders!$D738, products!$A$1:$A$49, 0), MATCH(orders!J$1, products!$A$1:$G$1, 0))</f>
        <v>D</v>
      </c>
      <c r="K738" s="4">
        <f>INDEX(products!$A$1:$G$49, MATCH(orders!$D738, products!$A$1:$A$49, 0), MATCH(orders!K$1, products!$A$1:$G$1, 0))</f>
        <v>1</v>
      </c>
      <c r="L738" s="5">
        <f>INDEX(products!$A$1:$G$49, MATCH(orders!$D738, products!$A$1:$A$49, 0), MATCH(orders!L$1, products!$A$1:$G$1, 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 MATCH(orders!$D739, products!$A$1:$A$49, 0), MATCH(orders!I$1, products!$A$1:$G$1, 0))</f>
        <v>Ara</v>
      </c>
      <c r="J739" t="str">
        <f>INDEX(products!$A$1:$G$49, MATCH(orders!$D739, products!$A$1:$A$49, 0), MATCH(orders!J$1, products!$A$1:$G$1, 0))</f>
        <v>M</v>
      </c>
      <c r="K739" s="4">
        <f>INDEX(products!$A$1:$G$49, MATCH(orders!$D739, products!$A$1:$A$49, 0), MATCH(orders!K$1, products!$A$1:$G$1, 0))</f>
        <v>1</v>
      </c>
      <c r="L739" s="5">
        <f>INDEX(products!$A$1:$G$49, MATCH(orders!$D739, products!$A$1:$A$49, 0), MATCH(orders!L$1, products!$A$1:$G$1, 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 MATCH(orders!$D740, products!$A$1:$A$49, 0), MATCH(orders!I$1, products!$A$1:$G$1, 0))</f>
        <v>Rob</v>
      </c>
      <c r="J740" t="str">
        <f>INDEX(products!$A$1:$G$49, MATCH(orders!$D740, products!$A$1:$A$49, 0), MATCH(orders!J$1, products!$A$1:$G$1, 0))</f>
        <v>L</v>
      </c>
      <c r="K740" s="4">
        <f>INDEX(products!$A$1:$G$49, MATCH(orders!$D740, products!$A$1:$A$49, 0), MATCH(orders!K$1, products!$A$1:$G$1, 0))</f>
        <v>0.2</v>
      </c>
      <c r="L740" s="5">
        <f>INDEX(products!$A$1:$G$49, MATCH(orders!$D740, products!$A$1:$A$49, 0), MATCH(orders!L$1, products!$A$1:$G$1, 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 MATCH(orders!$D741, products!$A$1:$A$49, 0), MATCH(orders!I$1, products!$A$1:$G$1, 0))</f>
        <v>Exc</v>
      </c>
      <c r="J741" t="str">
        <f>INDEX(products!$A$1:$G$49, MATCH(orders!$D741, products!$A$1:$A$49, 0), MATCH(orders!J$1, products!$A$1:$G$1, 0))</f>
        <v>D</v>
      </c>
      <c r="K741" s="4">
        <f>INDEX(products!$A$1:$G$49, MATCH(orders!$D741, products!$A$1:$A$49, 0), MATCH(orders!K$1, products!$A$1:$G$1, 0))</f>
        <v>0.2</v>
      </c>
      <c r="L741" s="5">
        <f>INDEX(products!$A$1:$G$49, MATCH(orders!$D741, products!$A$1:$A$49, 0), MATCH(orders!L$1, products!$A$1:$G$1, 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 MATCH(orders!$D742, products!$A$1:$A$49, 0), MATCH(orders!I$1, products!$A$1:$G$1, 0))</f>
        <v>Rob</v>
      </c>
      <c r="J742" t="str">
        <f>INDEX(products!$A$1:$G$49, MATCH(orders!$D742, products!$A$1:$A$49, 0), MATCH(orders!J$1, products!$A$1:$G$1, 0))</f>
        <v>L</v>
      </c>
      <c r="K742" s="4">
        <f>INDEX(products!$A$1:$G$49, MATCH(orders!$D742, products!$A$1:$A$49, 0), MATCH(orders!K$1, products!$A$1:$G$1, 0))</f>
        <v>0.5</v>
      </c>
      <c r="L742" s="5">
        <f>INDEX(products!$A$1:$G$49, MATCH(orders!$D742, products!$A$1:$A$49, 0), MATCH(orders!L$1, products!$A$1:$G$1, 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 MATCH(orders!$D743, products!$A$1:$A$49, 0), MATCH(orders!I$1, products!$A$1:$G$1, 0))</f>
        <v>Lib</v>
      </c>
      <c r="J743" t="str">
        <f>INDEX(products!$A$1:$G$49, MATCH(orders!$D743, products!$A$1:$A$49, 0), MATCH(orders!J$1, products!$A$1:$G$1, 0))</f>
        <v>M</v>
      </c>
      <c r="K743" s="4">
        <f>INDEX(products!$A$1:$G$49, MATCH(orders!$D743, products!$A$1:$A$49, 0), MATCH(orders!K$1, products!$A$1:$G$1, 0))</f>
        <v>0.2</v>
      </c>
      <c r="L743" s="5">
        <f>INDEX(products!$A$1:$G$49, MATCH(orders!$D743, products!$A$1:$A$49, 0), MATCH(orders!L$1, products!$A$1:$G$1, 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 MATCH(orders!$D744, products!$A$1:$A$49, 0), MATCH(orders!I$1, products!$A$1:$G$1, 0))</f>
        <v>Lib</v>
      </c>
      <c r="J744" t="str">
        <f>INDEX(products!$A$1:$G$49, MATCH(orders!$D744, products!$A$1:$A$49, 0), MATCH(orders!J$1, products!$A$1:$G$1, 0))</f>
        <v>M</v>
      </c>
      <c r="K744" s="4">
        <f>INDEX(products!$A$1:$G$49, MATCH(orders!$D744, products!$A$1:$A$49, 0), MATCH(orders!K$1, products!$A$1:$G$1, 0))</f>
        <v>1</v>
      </c>
      <c r="L744" s="5">
        <f>INDEX(products!$A$1:$G$49, MATCH(orders!$D744, products!$A$1:$A$49, 0), MATCH(orders!L$1, products!$A$1:$G$1, 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 MATCH(orders!$D745, products!$A$1:$A$49, 0), MATCH(orders!I$1, products!$A$1:$G$1, 0))</f>
        <v>Ara</v>
      </c>
      <c r="J745" t="str">
        <f>INDEX(products!$A$1:$G$49, MATCH(orders!$D745, products!$A$1:$A$49, 0), MATCH(orders!J$1, products!$A$1:$G$1, 0))</f>
        <v>D</v>
      </c>
      <c r="K745" s="4">
        <f>INDEX(products!$A$1:$G$49, MATCH(orders!$D745, products!$A$1:$A$49, 0), MATCH(orders!K$1, products!$A$1:$G$1, 0))</f>
        <v>0.5</v>
      </c>
      <c r="L745" s="5">
        <f>INDEX(products!$A$1:$G$49, MATCH(orders!$D745, products!$A$1:$A$49, 0), MATCH(orders!L$1, products!$A$1:$G$1, 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 MATCH(orders!$D746, products!$A$1:$A$49, 0), MATCH(orders!I$1, products!$A$1:$G$1, 0))</f>
        <v>Rob</v>
      </c>
      <c r="J746" t="str">
        <f>INDEX(products!$A$1:$G$49, MATCH(orders!$D746, products!$A$1:$A$49, 0), MATCH(orders!J$1, products!$A$1:$G$1, 0))</f>
        <v>M</v>
      </c>
      <c r="K746" s="4">
        <f>INDEX(products!$A$1:$G$49, MATCH(orders!$D746, products!$A$1:$A$49, 0), MATCH(orders!K$1, products!$A$1:$G$1, 0))</f>
        <v>0.2</v>
      </c>
      <c r="L746" s="5">
        <f>INDEX(products!$A$1:$G$49, MATCH(orders!$D746, products!$A$1:$A$49, 0), MATCH(orders!L$1, products!$A$1:$G$1, 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 MATCH(orders!$D747, products!$A$1:$A$49, 0), MATCH(orders!I$1, products!$A$1:$G$1, 0))</f>
        <v>Exc</v>
      </c>
      <c r="J747" t="str">
        <f>INDEX(products!$A$1:$G$49, MATCH(orders!$D747, products!$A$1:$A$49, 0), MATCH(orders!J$1, products!$A$1:$G$1, 0))</f>
        <v>D</v>
      </c>
      <c r="K747" s="4">
        <f>INDEX(products!$A$1:$G$49, MATCH(orders!$D747, products!$A$1:$A$49, 0), MATCH(orders!K$1, products!$A$1:$G$1, 0))</f>
        <v>0.5</v>
      </c>
      <c r="L747" s="5">
        <f>INDEX(products!$A$1:$G$49, MATCH(orders!$D747, products!$A$1:$A$49, 0), MATCH(orders!L$1, products!$A$1:$G$1, 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 MATCH(orders!$D748, products!$A$1:$A$49, 0), MATCH(orders!I$1, products!$A$1:$G$1, 0))</f>
        <v>Ara</v>
      </c>
      <c r="J748" t="str">
        <f>INDEX(products!$A$1:$G$49, MATCH(orders!$D748, products!$A$1:$A$49, 0), MATCH(orders!J$1, products!$A$1:$G$1, 0))</f>
        <v>M</v>
      </c>
      <c r="K748" s="4">
        <f>INDEX(products!$A$1:$G$49, MATCH(orders!$D748, products!$A$1:$A$49, 0), MATCH(orders!K$1, products!$A$1:$G$1, 0))</f>
        <v>1</v>
      </c>
      <c r="L748" s="5">
        <f>INDEX(products!$A$1:$G$49, MATCH(orders!$D748, products!$A$1:$A$49, 0), MATCH(orders!L$1, products!$A$1:$G$1, 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 MATCH(orders!$D749, products!$A$1:$A$49, 0), MATCH(orders!I$1, products!$A$1:$G$1, 0))</f>
        <v>Lib</v>
      </c>
      <c r="J749" t="str">
        <f>INDEX(products!$A$1:$G$49, MATCH(orders!$D749, products!$A$1:$A$49, 0), MATCH(orders!J$1, products!$A$1:$G$1, 0))</f>
        <v>M</v>
      </c>
      <c r="K749" s="4">
        <f>INDEX(products!$A$1:$G$49, MATCH(orders!$D749, products!$A$1:$A$49, 0), MATCH(orders!K$1, products!$A$1:$G$1, 0))</f>
        <v>0.5</v>
      </c>
      <c r="L749" s="5">
        <f>INDEX(products!$A$1:$G$49, MATCH(orders!$D749, products!$A$1:$A$49, 0), MATCH(orders!L$1, products!$A$1:$G$1, 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 MATCH(orders!$D750, products!$A$1:$A$49, 0), MATCH(orders!I$1, products!$A$1:$G$1, 0))</f>
        <v>Exc</v>
      </c>
      <c r="J750" t="str">
        <f>INDEX(products!$A$1:$G$49, MATCH(orders!$D750, products!$A$1:$A$49, 0), MATCH(orders!J$1, products!$A$1:$G$1, 0))</f>
        <v>D</v>
      </c>
      <c r="K750" s="4">
        <f>INDEX(products!$A$1:$G$49, MATCH(orders!$D750, products!$A$1:$A$49, 0), MATCH(orders!K$1, products!$A$1:$G$1, 0))</f>
        <v>0.5</v>
      </c>
      <c r="L750" s="5">
        <f>INDEX(products!$A$1:$G$49, MATCH(orders!$D750, products!$A$1:$A$49, 0), MATCH(orders!L$1, products!$A$1:$G$1, 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 MATCH(orders!$D751, products!$A$1:$A$49, 0), MATCH(orders!I$1, products!$A$1:$G$1, 0))</f>
        <v>Rob</v>
      </c>
      <c r="J751" t="str">
        <f>INDEX(products!$A$1:$G$49, MATCH(orders!$D751, products!$A$1:$A$49, 0), MATCH(orders!J$1, products!$A$1:$G$1, 0))</f>
        <v>D</v>
      </c>
      <c r="K751" s="4">
        <f>INDEX(products!$A$1:$G$49, MATCH(orders!$D751, products!$A$1:$A$49, 0), MATCH(orders!K$1, products!$A$1:$G$1, 0))</f>
        <v>0.2</v>
      </c>
      <c r="L751" s="5">
        <f>INDEX(products!$A$1:$G$49, MATCH(orders!$D751, products!$A$1:$A$49, 0), MATCH(orders!L$1, products!$A$1:$G$1, 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 MATCH(orders!$D752, products!$A$1:$A$49, 0), MATCH(orders!I$1, products!$A$1:$G$1, 0))</f>
        <v>Rob</v>
      </c>
      <c r="J752" t="str">
        <f>INDEX(products!$A$1:$G$49, MATCH(orders!$D752, products!$A$1:$A$49, 0), MATCH(orders!J$1, products!$A$1:$G$1, 0))</f>
        <v>M</v>
      </c>
      <c r="K752" s="4">
        <f>INDEX(products!$A$1:$G$49, MATCH(orders!$D752, products!$A$1:$A$49, 0), MATCH(orders!K$1, products!$A$1:$G$1, 0))</f>
        <v>0.5</v>
      </c>
      <c r="L752" s="5">
        <f>INDEX(products!$A$1:$G$49, MATCH(orders!$D752, products!$A$1:$A$49, 0), MATCH(orders!L$1, products!$A$1:$G$1, 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 MATCH(orders!$D753, products!$A$1:$A$49, 0), MATCH(orders!I$1, products!$A$1:$G$1, 0))</f>
        <v>Lib</v>
      </c>
      <c r="J753" t="str">
        <f>INDEX(products!$A$1:$G$49, MATCH(orders!$D753, products!$A$1:$A$49, 0), MATCH(orders!J$1, products!$A$1:$G$1, 0))</f>
        <v>L</v>
      </c>
      <c r="K753" s="4">
        <f>INDEX(products!$A$1:$G$49, MATCH(orders!$D753, products!$A$1:$A$49, 0), MATCH(orders!K$1, products!$A$1:$G$1, 0))</f>
        <v>0.5</v>
      </c>
      <c r="L753" s="5">
        <f>INDEX(products!$A$1:$G$49, MATCH(orders!$D753, products!$A$1:$A$49, 0), MATCH(orders!L$1, products!$A$1:$G$1, 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 MATCH(orders!$D754, products!$A$1:$A$49, 0), MATCH(orders!I$1, products!$A$1:$G$1, 0))</f>
        <v>Exc</v>
      </c>
      <c r="J754" t="str">
        <f>INDEX(products!$A$1:$G$49, MATCH(orders!$D754, products!$A$1:$A$49, 0), MATCH(orders!J$1, products!$A$1:$G$1, 0))</f>
        <v>M</v>
      </c>
      <c r="K754" s="4">
        <f>INDEX(products!$A$1:$G$49, MATCH(orders!$D754, products!$A$1:$A$49, 0), MATCH(orders!K$1, products!$A$1:$G$1, 0))</f>
        <v>1</v>
      </c>
      <c r="L754" s="5">
        <f>INDEX(products!$A$1:$G$49, MATCH(orders!$D754, products!$A$1:$A$49, 0), MATCH(orders!L$1, products!$A$1:$G$1, 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 MATCH(orders!$D755, products!$A$1:$A$49, 0), MATCH(orders!I$1, products!$A$1:$G$1, 0))</f>
        <v>Ara</v>
      </c>
      <c r="J755" t="str">
        <f>INDEX(products!$A$1:$G$49, MATCH(orders!$D755, products!$A$1:$A$49, 0), MATCH(orders!J$1, products!$A$1:$G$1, 0))</f>
        <v>D</v>
      </c>
      <c r="K755" s="4">
        <f>INDEX(products!$A$1:$G$49, MATCH(orders!$D755, products!$A$1:$A$49, 0), MATCH(orders!K$1, products!$A$1:$G$1, 0))</f>
        <v>0.5</v>
      </c>
      <c r="L755" s="5">
        <f>INDEX(products!$A$1:$G$49, MATCH(orders!$D755, products!$A$1:$A$49, 0), MATCH(orders!L$1, products!$A$1:$G$1, 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 MATCH(orders!$D756, products!$A$1:$A$49, 0), MATCH(orders!I$1, products!$A$1:$G$1, 0))</f>
        <v>Ara</v>
      </c>
      <c r="J756" t="str">
        <f>INDEX(products!$A$1:$G$49, MATCH(orders!$D756, products!$A$1:$A$49, 0), MATCH(orders!J$1, products!$A$1:$G$1, 0))</f>
        <v>D</v>
      </c>
      <c r="K756" s="4">
        <f>INDEX(products!$A$1:$G$49, MATCH(orders!$D756, products!$A$1:$A$49, 0), MATCH(orders!K$1, products!$A$1:$G$1, 0))</f>
        <v>0.2</v>
      </c>
      <c r="L756" s="5">
        <f>INDEX(products!$A$1:$G$49, MATCH(orders!$D756, products!$A$1:$A$49, 0), MATCH(orders!L$1, products!$A$1:$G$1, 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 MATCH(orders!$D757, products!$A$1:$A$49, 0), MATCH(orders!I$1, products!$A$1:$G$1, 0))</f>
        <v>Lib</v>
      </c>
      <c r="J757" t="str">
        <f>INDEX(products!$A$1:$G$49, MATCH(orders!$D757, products!$A$1:$A$49, 0), MATCH(orders!J$1, products!$A$1:$G$1, 0))</f>
        <v>L</v>
      </c>
      <c r="K757" s="4">
        <f>INDEX(products!$A$1:$G$49, MATCH(orders!$D757, products!$A$1:$A$49, 0), MATCH(orders!K$1, products!$A$1:$G$1, 0))</f>
        <v>0.2</v>
      </c>
      <c r="L757" s="5">
        <f>INDEX(products!$A$1:$G$49, MATCH(orders!$D757, products!$A$1:$A$49, 0), MATCH(orders!L$1, products!$A$1:$G$1, 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 MATCH(orders!$D758, products!$A$1:$A$49, 0), MATCH(orders!I$1, products!$A$1:$G$1, 0))</f>
        <v>Rob</v>
      </c>
      <c r="J758" t="str">
        <f>INDEX(products!$A$1:$G$49, MATCH(orders!$D758, products!$A$1:$A$49, 0), MATCH(orders!J$1, products!$A$1:$G$1, 0))</f>
        <v>D</v>
      </c>
      <c r="K758" s="4">
        <f>INDEX(products!$A$1:$G$49, MATCH(orders!$D758, products!$A$1:$A$49, 0), MATCH(orders!K$1, products!$A$1:$G$1, 0))</f>
        <v>1</v>
      </c>
      <c r="L758" s="5">
        <f>INDEX(products!$A$1:$G$49, MATCH(orders!$D758, products!$A$1:$A$49, 0), MATCH(orders!L$1, products!$A$1:$G$1, 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 MATCH(orders!$D759, products!$A$1:$A$49, 0), MATCH(orders!I$1, products!$A$1:$G$1, 0))</f>
        <v>Ara</v>
      </c>
      <c r="J759" t="str">
        <f>INDEX(products!$A$1:$G$49, MATCH(orders!$D759, products!$A$1:$A$49, 0), MATCH(orders!J$1, products!$A$1:$G$1, 0))</f>
        <v>D</v>
      </c>
      <c r="K759" s="4">
        <f>INDEX(products!$A$1:$G$49, MATCH(orders!$D759, products!$A$1:$A$49, 0), MATCH(orders!K$1, products!$A$1:$G$1, 0))</f>
        <v>0.5</v>
      </c>
      <c r="L759" s="5">
        <f>INDEX(products!$A$1:$G$49, MATCH(orders!$D759, products!$A$1:$A$49, 0), MATCH(orders!L$1, products!$A$1:$G$1, 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 MATCH(orders!$D760, products!$A$1:$A$49, 0), MATCH(orders!I$1, products!$A$1:$G$1, 0))</f>
        <v>Rob</v>
      </c>
      <c r="J760" t="str">
        <f>INDEX(products!$A$1:$G$49, MATCH(orders!$D760, products!$A$1:$A$49, 0), MATCH(orders!J$1, products!$A$1:$G$1, 0))</f>
        <v>D</v>
      </c>
      <c r="K760" s="4">
        <f>INDEX(products!$A$1:$G$49, MATCH(orders!$D760, products!$A$1:$A$49, 0), MATCH(orders!K$1, products!$A$1:$G$1, 0))</f>
        <v>1</v>
      </c>
      <c r="L760" s="5">
        <f>INDEX(products!$A$1:$G$49, MATCH(orders!$D760, products!$A$1:$A$49, 0), MATCH(orders!L$1, products!$A$1:$G$1, 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 MATCH(orders!$D761, products!$A$1:$A$49, 0), MATCH(orders!I$1, products!$A$1:$G$1, 0))</f>
        <v>Lib</v>
      </c>
      <c r="J761" t="str">
        <f>INDEX(products!$A$1:$G$49, MATCH(orders!$D761, products!$A$1:$A$49, 0), MATCH(orders!J$1, products!$A$1:$G$1, 0))</f>
        <v>D</v>
      </c>
      <c r="K761" s="4">
        <f>INDEX(products!$A$1:$G$49, MATCH(orders!$D761, products!$A$1:$A$49, 0), MATCH(orders!K$1, products!$A$1:$G$1, 0))</f>
        <v>2.5</v>
      </c>
      <c r="L761" s="5">
        <f>INDEX(products!$A$1:$G$49, MATCH(orders!$D761, products!$A$1:$A$49, 0), MATCH(orders!L$1, products!$A$1:$G$1, 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 MATCH(orders!$D762, products!$A$1:$A$49, 0), MATCH(orders!I$1, products!$A$1:$G$1, 0))</f>
        <v>Exc</v>
      </c>
      <c r="J762" t="str">
        <f>INDEX(products!$A$1:$G$49, MATCH(orders!$D762, products!$A$1:$A$49, 0), MATCH(orders!J$1, products!$A$1:$G$1, 0))</f>
        <v>L</v>
      </c>
      <c r="K762" s="4">
        <f>INDEX(products!$A$1:$G$49, MATCH(orders!$D762, products!$A$1:$A$49, 0), MATCH(orders!K$1, products!$A$1:$G$1, 0))</f>
        <v>0.5</v>
      </c>
      <c r="L762" s="5">
        <f>INDEX(products!$A$1:$G$49, MATCH(orders!$D762, products!$A$1:$A$49, 0), MATCH(orders!L$1, products!$A$1:$G$1, 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 MATCH(orders!$D763, products!$A$1:$A$49, 0), MATCH(orders!I$1, products!$A$1:$G$1, 0))</f>
        <v>Exc</v>
      </c>
      <c r="J763" t="str">
        <f>INDEX(products!$A$1:$G$49, MATCH(orders!$D763, products!$A$1:$A$49, 0), MATCH(orders!J$1, products!$A$1:$G$1, 0))</f>
        <v>L</v>
      </c>
      <c r="K763" s="4">
        <f>INDEX(products!$A$1:$G$49, MATCH(orders!$D763, products!$A$1:$A$49, 0), MATCH(orders!K$1, products!$A$1:$G$1, 0))</f>
        <v>1</v>
      </c>
      <c r="L763" s="5">
        <f>INDEX(products!$A$1:$G$49, MATCH(orders!$D763, products!$A$1:$A$49, 0), MATCH(orders!L$1, products!$A$1:$G$1, 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 MATCH(orders!$D764, products!$A$1:$A$49, 0), MATCH(orders!I$1, products!$A$1:$G$1, 0))</f>
        <v>Lib</v>
      </c>
      <c r="J764" t="str">
        <f>INDEX(products!$A$1:$G$49, MATCH(orders!$D764, products!$A$1:$A$49, 0), MATCH(orders!J$1, products!$A$1:$G$1, 0))</f>
        <v>M</v>
      </c>
      <c r="K764" s="4">
        <f>INDEX(products!$A$1:$G$49, MATCH(orders!$D764, products!$A$1:$A$49, 0), MATCH(orders!K$1, products!$A$1:$G$1, 0))</f>
        <v>0.5</v>
      </c>
      <c r="L764" s="5">
        <f>INDEX(products!$A$1:$G$49, MATCH(orders!$D764, products!$A$1:$A$49, 0), MATCH(orders!L$1, products!$A$1:$G$1, 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 MATCH(orders!$D765, products!$A$1:$A$49, 0), MATCH(orders!I$1, products!$A$1:$G$1, 0))</f>
        <v>Ara</v>
      </c>
      <c r="J765" t="str">
        <f>INDEX(products!$A$1:$G$49, MATCH(orders!$D765, products!$A$1:$A$49, 0), MATCH(orders!J$1, products!$A$1:$G$1, 0))</f>
        <v>L</v>
      </c>
      <c r="K765" s="4">
        <f>INDEX(products!$A$1:$G$49, MATCH(orders!$D765, products!$A$1:$A$49, 0), MATCH(orders!K$1, products!$A$1:$G$1, 0))</f>
        <v>0.5</v>
      </c>
      <c r="L765" s="5">
        <f>INDEX(products!$A$1:$G$49, MATCH(orders!$D765, products!$A$1:$A$49, 0), MATCH(orders!L$1, products!$A$1:$G$1, 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 MATCH(orders!$D766, products!$A$1:$A$49, 0), MATCH(orders!I$1, products!$A$1:$G$1, 0))</f>
        <v>Ara</v>
      </c>
      <c r="J766" t="str">
        <f>INDEX(products!$A$1:$G$49, MATCH(orders!$D766, products!$A$1:$A$49, 0), MATCH(orders!J$1, products!$A$1:$G$1, 0))</f>
        <v>L</v>
      </c>
      <c r="K766" s="4">
        <f>INDEX(products!$A$1:$G$49, MATCH(orders!$D766, products!$A$1:$A$49, 0), MATCH(orders!K$1, products!$A$1:$G$1, 0))</f>
        <v>2.5</v>
      </c>
      <c r="L766" s="5">
        <f>INDEX(products!$A$1:$G$49, MATCH(orders!$D766, products!$A$1:$A$49, 0), MATCH(orders!L$1, products!$A$1:$G$1, 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 MATCH(orders!$D767, products!$A$1:$A$49, 0), MATCH(orders!I$1, products!$A$1:$G$1, 0))</f>
        <v>Rob</v>
      </c>
      <c r="J767" t="str">
        <f>INDEX(products!$A$1:$G$49, MATCH(orders!$D767, products!$A$1:$A$49, 0), MATCH(orders!J$1, products!$A$1:$G$1, 0))</f>
        <v>M</v>
      </c>
      <c r="K767" s="4">
        <f>INDEX(products!$A$1:$G$49, MATCH(orders!$D767, products!$A$1:$A$49, 0), MATCH(orders!K$1, products!$A$1:$G$1, 0))</f>
        <v>1</v>
      </c>
      <c r="L767" s="5">
        <f>INDEX(products!$A$1:$G$49, MATCH(orders!$D767, products!$A$1:$A$49, 0), MATCH(orders!L$1, products!$A$1:$G$1, 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 MATCH(orders!$D768, products!$A$1:$A$49, 0), MATCH(orders!I$1, products!$A$1:$G$1, 0))</f>
        <v>Ara</v>
      </c>
      <c r="J768" t="str">
        <f>INDEX(products!$A$1:$G$49, MATCH(orders!$D768, products!$A$1:$A$49, 0), MATCH(orders!J$1, products!$A$1:$G$1, 0))</f>
        <v>L</v>
      </c>
      <c r="K768" s="4">
        <f>INDEX(products!$A$1:$G$49, MATCH(orders!$D768, products!$A$1:$A$49, 0), MATCH(orders!K$1, products!$A$1:$G$1, 0))</f>
        <v>0.5</v>
      </c>
      <c r="L768" s="5">
        <f>INDEX(products!$A$1:$G$49, MATCH(orders!$D768, products!$A$1:$A$49, 0), MATCH(orders!L$1, products!$A$1:$G$1, 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 MATCH(orders!$D769, products!$A$1:$A$49, 0), MATCH(orders!I$1, products!$A$1:$G$1, 0))</f>
        <v>Ara</v>
      </c>
      <c r="J769" t="str">
        <f>INDEX(products!$A$1:$G$49, MATCH(orders!$D769, products!$A$1:$A$49, 0), MATCH(orders!J$1, products!$A$1:$G$1, 0))</f>
        <v>L</v>
      </c>
      <c r="K769" s="4">
        <f>INDEX(products!$A$1:$G$49, MATCH(orders!$D769, products!$A$1:$A$49, 0), MATCH(orders!K$1, products!$A$1:$G$1, 0))</f>
        <v>2.5</v>
      </c>
      <c r="L769" s="5">
        <f>INDEX(products!$A$1:$G$49, MATCH(orders!$D769, products!$A$1:$A$49, 0), MATCH(orders!L$1, products!$A$1:$G$1, 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 MATCH(orders!$D770, products!$A$1:$A$49, 0), MATCH(orders!I$1, products!$A$1:$G$1, 0))</f>
        <v>Rob</v>
      </c>
      <c r="J770" t="str">
        <f>INDEX(products!$A$1:$G$49, MATCH(orders!$D770, products!$A$1:$A$49, 0), MATCH(orders!J$1, products!$A$1:$G$1, 0))</f>
        <v>L</v>
      </c>
      <c r="K770" s="4">
        <f>INDEX(products!$A$1:$G$49, MATCH(orders!$D770, products!$A$1:$A$49, 0), MATCH(orders!K$1, products!$A$1:$G$1, 0))</f>
        <v>1</v>
      </c>
      <c r="L770" s="5">
        <f>INDEX(products!$A$1:$G$49, MATCH(orders!$D770, products!$A$1:$A$49, 0), MATCH(orders!L$1, products!$A$1:$G$1, 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 MATCH(orders!$D771, products!$A$1:$A$49, 0), MATCH(orders!I$1, products!$A$1:$G$1, 0))</f>
        <v>Rob</v>
      </c>
      <c r="J771" t="str">
        <f>INDEX(products!$A$1:$G$49, MATCH(orders!$D771, products!$A$1:$A$49, 0), MATCH(orders!J$1, products!$A$1:$G$1, 0))</f>
        <v>M</v>
      </c>
      <c r="K771" s="4">
        <f>INDEX(products!$A$1:$G$49, MATCH(orders!$D771, products!$A$1:$A$49, 0), MATCH(orders!K$1, products!$A$1:$G$1, 0))</f>
        <v>2.5</v>
      </c>
      <c r="L771" s="5">
        <f>INDEX(products!$A$1:$G$49, MATCH(orders!$D771, products!$A$1:$A$49, 0), MATCH(orders!L$1, products!$A$1:$G$1, 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 MATCH(orders!$D772, products!$A$1:$A$49, 0), MATCH(orders!I$1, products!$A$1:$G$1, 0))</f>
        <v>Ara</v>
      </c>
      <c r="J772" t="str">
        <f>INDEX(products!$A$1:$G$49, MATCH(orders!$D772, products!$A$1:$A$49, 0), MATCH(orders!J$1, products!$A$1:$G$1, 0))</f>
        <v>D</v>
      </c>
      <c r="K772" s="4">
        <f>INDEX(products!$A$1:$G$49, MATCH(orders!$D772, products!$A$1:$A$49, 0), MATCH(orders!K$1, products!$A$1:$G$1, 0))</f>
        <v>1</v>
      </c>
      <c r="L772" s="5">
        <f>INDEX(products!$A$1:$G$49, MATCH(orders!$D772, products!$A$1:$A$49, 0), MATCH(orders!L$1, products!$A$1:$G$1, 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 MATCH(orders!$D773, products!$A$1:$A$49, 0), MATCH(orders!I$1, products!$A$1:$G$1, 0))</f>
        <v>Rob</v>
      </c>
      <c r="J773" t="str">
        <f>INDEX(products!$A$1:$G$49, MATCH(orders!$D773, products!$A$1:$A$49, 0), MATCH(orders!J$1, products!$A$1:$G$1, 0))</f>
        <v>L</v>
      </c>
      <c r="K773" s="4">
        <f>INDEX(products!$A$1:$G$49, MATCH(orders!$D773, products!$A$1:$A$49, 0), MATCH(orders!K$1, products!$A$1:$G$1, 0))</f>
        <v>0.5</v>
      </c>
      <c r="L773" s="5">
        <f>INDEX(products!$A$1:$G$49, MATCH(orders!$D773, products!$A$1:$A$49, 0), MATCH(orders!L$1, products!$A$1:$G$1, 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 MATCH(orders!$D774, products!$A$1:$A$49, 0), MATCH(orders!I$1, products!$A$1:$G$1, 0))</f>
        <v>Exc</v>
      </c>
      <c r="J774" t="str">
        <f>INDEX(products!$A$1:$G$49, MATCH(orders!$D774, products!$A$1:$A$49, 0), MATCH(orders!J$1, products!$A$1:$G$1, 0))</f>
        <v>M</v>
      </c>
      <c r="K774" s="4">
        <f>INDEX(products!$A$1:$G$49, MATCH(orders!$D774, products!$A$1:$A$49, 0), MATCH(orders!K$1, products!$A$1:$G$1, 0))</f>
        <v>1</v>
      </c>
      <c r="L774" s="5">
        <f>INDEX(products!$A$1:$G$49, MATCH(orders!$D774, products!$A$1:$A$49, 0), MATCH(orders!L$1, products!$A$1:$G$1, 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 MATCH(orders!$D775, products!$A$1:$A$49, 0), MATCH(orders!I$1, products!$A$1:$G$1, 0))</f>
        <v>Lib</v>
      </c>
      <c r="J775" t="str">
        <f>INDEX(products!$A$1:$G$49, MATCH(orders!$D775, products!$A$1:$A$49, 0), MATCH(orders!J$1, products!$A$1:$G$1, 0))</f>
        <v>M</v>
      </c>
      <c r="K775" s="4">
        <f>INDEX(products!$A$1:$G$49, MATCH(orders!$D775, products!$A$1:$A$49, 0), MATCH(orders!K$1, products!$A$1:$G$1, 0))</f>
        <v>0.2</v>
      </c>
      <c r="L775" s="5">
        <f>INDEX(products!$A$1:$G$49, MATCH(orders!$D775, products!$A$1:$A$49, 0), MATCH(orders!L$1, products!$A$1:$G$1, 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 MATCH(orders!$D776, products!$A$1:$A$49, 0), MATCH(orders!I$1, products!$A$1:$G$1, 0))</f>
        <v>Rob</v>
      </c>
      <c r="J776" t="str">
        <f>INDEX(products!$A$1:$G$49, MATCH(orders!$D776, products!$A$1:$A$49, 0), MATCH(orders!J$1, products!$A$1:$G$1, 0))</f>
        <v>M</v>
      </c>
      <c r="K776" s="4">
        <f>INDEX(products!$A$1:$G$49, MATCH(orders!$D776, products!$A$1:$A$49, 0), MATCH(orders!K$1, products!$A$1:$G$1, 0))</f>
        <v>1</v>
      </c>
      <c r="L776" s="5">
        <f>INDEX(products!$A$1:$G$49, MATCH(orders!$D776, products!$A$1:$A$49, 0), MATCH(orders!L$1, products!$A$1:$G$1, 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 MATCH(orders!$D777, products!$A$1:$A$49, 0), MATCH(orders!I$1, products!$A$1:$G$1, 0))</f>
        <v>Exc</v>
      </c>
      <c r="J777" t="str">
        <f>INDEX(products!$A$1:$G$49, MATCH(orders!$D777, products!$A$1:$A$49, 0), MATCH(orders!J$1, products!$A$1:$G$1, 0))</f>
        <v>L</v>
      </c>
      <c r="K777" s="4">
        <f>INDEX(products!$A$1:$G$49, MATCH(orders!$D777, products!$A$1:$A$49, 0), MATCH(orders!K$1, products!$A$1:$G$1, 0))</f>
        <v>0.5</v>
      </c>
      <c r="L777" s="5">
        <f>INDEX(products!$A$1:$G$49, MATCH(orders!$D777, products!$A$1:$A$49, 0), MATCH(orders!L$1, products!$A$1:$G$1, 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 MATCH(orders!$D778, products!$A$1:$A$49, 0), MATCH(orders!I$1, products!$A$1:$G$1, 0))</f>
        <v>Ara</v>
      </c>
      <c r="J778" t="str">
        <f>INDEX(products!$A$1:$G$49, MATCH(orders!$D778, products!$A$1:$A$49, 0), MATCH(orders!J$1, products!$A$1:$G$1, 0))</f>
        <v>M</v>
      </c>
      <c r="K778" s="4">
        <f>INDEX(products!$A$1:$G$49, MATCH(orders!$D778, products!$A$1:$A$49, 0), MATCH(orders!K$1, products!$A$1:$G$1, 0))</f>
        <v>0.5</v>
      </c>
      <c r="L778" s="5">
        <f>INDEX(products!$A$1:$G$49, MATCH(orders!$D778, products!$A$1:$A$49, 0), MATCH(orders!L$1, products!$A$1:$G$1, 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 MATCH(orders!$D779, products!$A$1:$A$49, 0), MATCH(orders!I$1, products!$A$1:$G$1, 0))</f>
        <v>Ara</v>
      </c>
      <c r="J779" t="str">
        <f>INDEX(products!$A$1:$G$49, MATCH(orders!$D779, products!$A$1:$A$49, 0), MATCH(orders!J$1, products!$A$1:$G$1, 0))</f>
        <v>L</v>
      </c>
      <c r="K779" s="4">
        <f>INDEX(products!$A$1:$G$49, MATCH(orders!$D779, products!$A$1:$A$49, 0), MATCH(orders!K$1, products!$A$1:$G$1, 0))</f>
        <v>2.5</v>
      </c>
      <c r="L779" s="5">
        <f>INDEX(products!$A$1:$G$49, MATCH(orders!$D779, products!$A$1:$A$49, 0), MATCH(orders!L$1, products!$A$1:$G$1, 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 MATCH(orders!$D780, products!$A$1:$A$49, 0), MATCH(orders!I$1, products!$A$1:$G$1, 0))</f>
        <v>Lib</v>
      </c>
      <c r="J780" t="str">
        <f>INDEX(products!$A$1:$G$49, MATCH(orders!$D780, products!$A$1:$A$49, 0), MATCH(orders!J$1, products!$A$1:$G$1, 0))</f>
        <v>L</v>
      </c>
      <c r="K780" s="4">
        <f>INDEX(products!$A$1:$G$49, MATCH(orders!$D780, products!$A$1:$A$49, 0), MATCH(orders!K$1, products!$A$1:$G$1, 0))</f>
        <v>0.5</v>
      </c>
      <c r="L780" s="5">
        <f>INDEX(products!$A$1:$G$49, MATCH(orders!$D780, products!$A$1:$A$49, 0), MATCH(orders!L$1, products!$A$1:$G$1, 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 MATCH(orders!$D781, products!$A$1:$A$49, 0), MATCH(orders!I$1, products!$A$1:$G$1, 0))</f>
        <v>Lib</v>
      </c>
      <c r="J781" t="str">
        <f>INDEX(products!$A$1:$G$49, MATCH(orders!$D781, products!$A$1:$A$49, 0), MATCH(orders!J$1, products!$A$1:$G$1, 0))</f>
        <v>D</v>
      </c>
      <c r="K781" s="4">
        <f>INDEX(products!$A$1:$G$49, MATCH(orders!$D781, products!$A$1:$A$49, 0), MATCH(orders!K$1, products!$A$1:$G$1, 0))</f>
        <v>1</v>
      </c>
      <c r="L781" s="5">
        <f>INDEX(products!$A$1:$G$49, MATCH(orders!$D781, products!$A$1:$A$49, 0), MATCH(orders!L$1, products!$A$1:$G$1, 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 MATCH(orders!$D782, products!$A$1:$A$49, 0), MATCH(orders!I$1, products!$A$1:$G$1, 0))</f>
        <v>Exc</v>
      </c>
      <c r="J782" t="str">
        <f>INDEX(products!$A$1:$G$49, MATCH(orders!$D782, products!$A$1:$A$49, 0), MATCH(orders!J$1, products!$A$1:$G$1, 0))</f>
        <v>M</v>
      </c>
      <c r="K782" s="4">
        <f>INDEX(products!$A$1:$G$49, MATCH(orders!$D782, products!$A$1:$A$49, 0), MATCH(orders!K$1, products!$A$1:$G$1, 0))</f>
        <v>1</v>
      </c>
      <c r="L782" s="5">
        <f>INDEX(products!$A$1:$G$49, MATCH(orders!$D782, products!$A$1:$A$49, 0), MATCH(orders!L$1, products!$A$1:$G$1, 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 MATCH(orders!$D783, products!$A$1:$A$49, 0), MATCH(orders!I$1, products!$A$1:$G$1, 0))</f>
        <v>Lib</v>
      </c>
      <c r="J783" t="str">
        <f>INDEX(products!$A$1:$G$49, MATCH(orders!$D783, products!$A$1:$A$49, 0), MATCH(orders!J$1, products!$A$1:$G$1, 0))</f>
        <v>L</v>
      </c>
      <c r="K783" s="4">
        <f>INDEX(products!$A$1:$G$49, MATCH(orders!$D783, products!$A$1:$A$49, 0), MATCH(orders!K$1, products!$A$1:$G$1, 0))</f>
        <v>2.5</v>
      </c>
      <c r="L783" s="5">
        <f>INDEX(products!$A$1:$G$49, MATCH(orders!$D783, products!$A$1:$A$49, 0), MATCH(orders!L$1, products!$A$1:$G$1, 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 MATCH(orders!$D784, products!$A$1:$A$49, 0), MATCH(orders!I$1, products!$A$1:$G$1, 0))</f>
        <v>Exc</v>
      </c>
      <c r="J784" t="str">
        <f>INDEX(products!$A$1:$G$49, MATCH(orders!$D784, products!$A$1:$A$49, 0), MATCH(orders!J$1, products!$A$1:$G$1, 0))</f>
        <v>L</v>
      </c>
      <c r="K784" s="4">
        <f>INDEX(products!$A$1:$G$49, MATCH(orders!$D784, products!$A$1:$A$49, 0), MATCH(orders!K$1, products!$A$1:$G$1, 0))</f>
        <v>0.2</v>
      </c>
      <c r="L784" s="5">
        <f>INDEX(products!$A$1:$G$49, MATCH(orders!$D784, products!$A$1:$A$49, 0), MATCH(orders!L$1, products!$A$1:$G$1, 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 MATCH(orders!$D785, products!$A$1:$A$49, 0), MATCH(orders!I$1, products!$A$1:$G$1, 0))</f>
        <v>Lib</v>
      </c>
      <c r="J785" t="str">
        <f>INDEX(products!$A$1:$G$49, MATCH(orders!$D785, products!$A$1:$A$49, 0), MATCH(orders!J$1, products!$A$1:$G$1, 0))</f>
        <v>M</v>
      </c>
      <c r="K785" s="4">
        <f>INDEX(products!$A$1:$G$49, MATCH(orders!$D785, products!$A$1:$A$49, 0), MATCH(orders!K$1, products!$A$1:$G$1, 0))</f>
        <v>0.5</v>
      </c>
      <c r="L785" s="5">
        <f>INDEX(products!$A$1:$G$49, MATCH(orders!$D785, products!$A$1:$A$49, 0), MATCH(orders!L$1, products!$A$1:$G$1, 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 MATCH(orders!$D786, products!$A$1:$A$49, 0), MATCH(orders!I$1, products!$A$1:$G$1, 0))</f>
        <v>Lib</v>
      </c>
      <c r="J786" t="str">
        <f>INDEX(products!$A$1:$G$49, MATCH(orders!$D786, products!$A$1:$A$49, 0), MATCH(orders!J$1, products!$A$1:$G$1, 0))</f>
        <v>L</v>
      </c>
      <c r="K786" s="4">
        <f>INDEX(products!$A$1:$G$49, MATCH(orders!$D786, products!$A$1:$A$49, 0), MATCH(orders!K$1, products!$A$1:$G$1, 0))</f>
        <v>1</v>
      </c>
      <c r="L786" s="5">
        <f>INDEX(products!$A$1:$G$49, MATCH(orders!$D786, products!$A$1:$A$49, 0), MATCH(orders!L$1, products!$A$1:$G$1, 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 MATCH(orders!$D787, products!$A$1:$A$49, 0), MATCH(orders!I$1, products!$A$1:$G$1, 0))</f>
        <v>Ara</v>
      </c>
      <c r="J787" t="str">
        <f>INDEX(products!$A$1:$G$49, MATCH(orders!$D787, products!$A$1:$A$49, 0), MATCH(orders!J$1, products!$A$1:$G$1, 0))</f>
        <v>D</v>
      </c>
      <c r="K787" s="4">
        <f>INDEX(products!$A$1:$G$49, MATCH(orders!$D787, products!$A$1:$A$49, 0), MATCH(orders!K$1, products!$A$1:$G$1, 0))</f>
        <v>2.5</v>
      </c>
      <c r="L787" s="5">
        <f>INDEX(products!$A$1:$G$49, MATCH(orders!$D787, products!$A$1:$A$49, 0), MATCH(orders!L$1, products!$A$1:$G$1, 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 MATCH(orders!$D788, products!$A$1:$A$49, 0), MATCH(orders!I$1, products!$A$1:$G$1, 0))</f>
        <v>Exc</v>
      </c>
      <c r="J788" t="str">
        <f>INDEX(products!$A$1:$G$49, MATCH(orders!$D788, products!$A$1:$A$49, 0), MATCH(orders!J$1, products!$A$1:$G$1, 0))</f>
        <v>D</v>
      </c>
      <c r="K788" s="4">
        <f>INDEX(products!$A$1:$G$49, MATCH(orders!$D788, products!$A$1:$A$49, 0), MATCH(orders!K$1, products!$A$1:$G$1, 0))</f>
        <v>2.5</v>
      </c>
      <c r="L788" s="5">
        <f>INDEX(products!$A$1:$G$49, MATCH(orders!$D788, products!$A$1:$A$49, 0), MATCH(orders!L$1, products!$A$1:$G$1, 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 MATCH(orders!$D789, products!$A$1:$A$49, 0), MATCH(orders!I$1, products!$A$1:$G$1, 0))</f>
        <v>Exc</v>
      </c>
      <c r="J789" t="str">
        <f>INDEX(products!$A$1:$G$49, MATCH(orders!$D789, products!$A$1:$A$49, 0), MATCH(orders!J$1, products!$A$1:$G$1, 0))</f>
        <v>M</v>
      </c>
      <c r="K789" s="4">
        <f>INDEX(products!$A$1:$G$49, MATCH(orders!$D789, products!$A$1:$A$49, 0), MATCH(orders!K$1, products!$A$1:$G$1, 0))</f>
        <v>1</v>
      </c>
      <c r="L789" s="5">
        <f>INDEX(products!$A$1:$G$49, MATCH(orders!$D789, products!$A$1:$A$49, 0), MATCH(orders!L$1, products!$A$1:$G$1, 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 MATCH(orders!$D790, products!$A$1:$A$49, 0), MATCH(orders!I$1, products!$A$1:$G$1, 0))</f>
        <v>Rob</v>
      </c>
      <c r="J790" t="str">
        <f>INDEX(products!$A$1:$G$49, MATCH(orders!$D790, products!$A$1:$A$49, 0), MATCH(orders!J$1, products!$A$1:$G$1, 0))</f>
        <v>M</v>
      </c>
      <c r="K790" s="4">
        <f>INDEX(products!$A$1:$G$49, MATCH(orders!$D790, products!$A$1:$A$49, 0), MATCH(orders!K$1, products!$A$1:$G$1, 0))</f>
        <v>2.5</v>
      </c>
      <c r="L790" s="5">
        <f>INDEX(products!$A$1:$G$49, MATCH(orders!$D790, products!$A$1:$A$49, 0), MATCH(orders!L$1, products!$A$1:$G$1, 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 MATCH(orders!$D791, products!$A$1:$A$49, 0), MATCH(orders!I$1, products!$A$1:$G$1, 0))</f>
        <v>Ara</v>
      </c>
      <c r="J791" t="str">
        <f>INDEX(products!$A$1:$G$49, MATCH(orders!$D791, products!$A$1:$A$49, 0), MATCH(orders!J$1, products!$A$1:$G$1, 0))</f>
        <v>L</v>
      </c>
      <c r="K791" s="4">
        <f>INDEX(products!$A$1:$G$49, MATCH(orders!$D791, products!$A$1:$A$49, 0), MATCH(orders!K$1, products!$A$1:$G$1, 0))</f>
        <v>1</v>
      </c>
      <c r="L791" s="5">
        <f>INDEX(products!$A$1:$G$49, MATCH(orders!$D791, products!$A$1:$A$49, 0), MATCH(orders!L$1, products!$A$1:$G$1, 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 MATCH(orders!$D792, products!$A$1:$A$49, 0), MATCH(orders!I$1, products!$A$1:$G$1, 0))</f>
        <v>Ara</v>
      </c>
      <c r="J792" t="str">
        <f>INDEX(products!$A$1:$G$49, MATCH(orders!$D792, products!$A$1:$A$49, 0), MATCH(orders!J$1, products!$A$1:$G$1, 0))</f>
        <v>L</v>
      </c>
      <c r="K792" s="4">
        <f>INDEX(products!$A$1:$G$49, MATCH(orders!$D792, products!$A$1:$A$49, 0), MATCH(orders!K$1, products!$A$1:$G$1, 0))</f>
        <v>0.5</v>
      </c>
      <c r="L792" s="5">
        <f>INDEX(products!$A$1:$G$49, MATCH(orders!$D792, products!$A$1:$A$49, 0), MATCH(orders!L$1, products!$A$1:$G$1, 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 MATCH(orders!$D793, products!$A$1:$A$49, 0), MATCH(orders!I$1, products!$A$1:$G$1, 0))</f>
        <v>Lib</v>
      </c>
      <c r="J793" t="str">
        <f>INDEX(products!$A$1:$G$49, MATCH(orders!$D793, products!$A$1:$A$49, 0), MATCH(orders!J$1, products!$A$1:$G$1, 0))</f>
        <v>L</v>
      </c>
      <c r="K793" s="4">
        <f>INDEX(products!$A$1:$G$49, MATCH(orders!$D793, products!$A$1:$A$49, 0), MATCH(orders!K$1, products!$A$1:$G$1, 0))</f>
        <v>0.2</v>
      </c>
      <c r="L793" s="5">
        <f>INDEX(products!$A$1:$G$49, MATCH(orders!$D793, products!$A$1:$A$49, 0), MATCH(orders!L$1, products!$A$1:$G$1, 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 MATCH(orders!$D794, products!$A$1:$A$49, 0), MATCH(orders!I$1, products!$A$1:$G$1, 0))</f>
        <v>Lib</v>
      </c>
      <c r="J794" t="str">
        <f>INDEX(products!$A$1:$G$49, MATCH(orders!$D794, products!$A$1:$A$49, 0), MATCH(orders!J$1, products!$A$1:$G$1, 0))</f>
        <v>M</v>
      </c>
      <c r="K794" s="4">
        <f>INDEX(products!$A$1:$G$49, MATCH(orders!$D794, products!$A$1:$A$49, 0), MATCH(orders!K$1, products!$A$1:$G$1, 0))</f>
        <v>0.5</v>
      </c>
      <c r="L794" s="5">
        <f>INDEX(products!$A$1:$G$49, MATCH(orders!$D794, products!$A$1:$A$49, 0), MATCH(orders!L$1, products!$A$1:$G$1, 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 MATCH(orders!$D795, products!$A$1:$A$49, 0), MATCH(orders!I$1, products!$A$1:$G$1, 0))</f>
        <v>Rob</v>
      </c>
      <c r="J795" t="str">
        <f>INDEX(products!$A$1:$G$49, MATCH(orders!$D795, products!$A$1:$A$49, 0), MATCH(orders!J$1, products!$A$1:$G$1, 0))</f>
        <v>L</v>
      </c>
      <c r="K795" s="4">
        <f>INDEX(products!$A$1:$G$49, MATCH(orders!$D795, products!$A$1:$A$49, 0), MATCH(orders!K$1, products!$A$1:$G$1, 0))</f>
        <v>0.2</v>
      </c>
      <c r="L795" s="5">
        <f>INDEX(products!$A$1:$G$49, MATCH(orders!$D795, products!$A$1:$A$49, 0), MATCH(orders!L$1, products!$A$1:$G$1, 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 MATCH(orders!$D796, products!$A$1:$A$49, 0), MATCH(orders!I$1, products!$A$1:$G$1, 0))</f>
        <v>Ara</v>
      </c>
      <c r="J796" t="str">
        <f>INDEX(products!$A$1:$G$49, MATCH(orders!$D796, products!$A$1:$A$49, 0), MATCH(orders!J$1, products!$A$1:$G$1, 0))</f>
        <v>L</v>
      </c>
      <c r="K796" s="4">
        <f>INDEX(products!$A$1:$G$49, MATCH(orders!$D796, products!$A$1:$A$49, 0), MATCH(orders!K$1, products!$A$1:$G$1, 0))</f>
        <v>2.5</v>
      </c>
      <c r="L796" s="5">
        <f>INDEX(products!$A$1:$G$49, MATCH(orders!$D796, products!$A$1:$A$49, 0), MATCH(orders!L$1, products!$A$1:$G$1, 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 MATCH(orders!$D797, products!$A$1:$A$49, 0), MATCH(orders!I$1, products!$A$1:$G$1, 0))</f>
        <v>Rob</v>
      </c>
      <c r="J797" t="str">
        <f>INDEX(products!$A$1:$G$49, MATCH(orders!$D797, products!$A$1:$A$49, 0), MATCH(orders!J$1, products!$A$1:$G$1, 0))</f>
        <v>L</v>
      </c>
      <c r="K797" s="4">
        <f>INDEX(products!$A$1:$G$49, MATCH(orders!$D797, products!$A$1:$A$49, 0), MATCH(orders!K$1, products!$A$1:$G$1, 0))</f>
        <v>0.5</v>
      </c>
      <c r="L797" s="5">
        <f>INDEX(products!$A$1:$G$49, MATCH(orders!$D797, products!$A$1:$A$49, 0), MATCH(orders!L$1, products!$A$1:$G$1, 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 MATCH(orders!$D798, products!$A$1:$A$49, 0), MATCH(orders!I$1, products!$A$1:$G$1, 0))</f>
        <v>Lib</v>
      </c>
      <c r="J798" t="str">
        <f>INDEX(products!$A$1:$G$49, MATCH(orders!$D798, products!$A$1:$A$49, 0), MATCH(orders!J$1, products!$A$1:$G$1, 0))</f>
        <v>L</v>
      </c>
      <c r="K798" s="4">
        <f>INDEX(products!$A$1:$G$49, MATCH(orders!$D798, products!$A$1:$A$49, 0), MATCH(orders!K$1, products!$A$1:$G$1, 0))</f>
        <v>0.5</v>
      </c>
      <c r="L798" s="5">
        <f>INDEX(products!$A$1:$G$49, MATCH(orders!$D798, products!$A$1:$A$49, 0), MATCH(orders!L$1, products!$A$1:$G$1, 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 MATCH(orders!$D799, products!$A$1:$A$49, 0), MATCH(orders!I$1, products!$A$1:$G$1, 0))</f>
        <v>Ara</v>
      </c>
      <c r="J799" t="str">
        <f>INDEX(products!$A$1:$G$49, MATCH(orders!$D799, products!$A$1:$A$49, 0), MATCH(orders!J$1, products!$A$1:$G$1, 0))</f>
        <v>L</v>
      </c>
      <c r="K799" s="4">
        <f>INDEX(products!$A$1:$G$49, MATCH(orders!$D799, products!$A$1:$A$49, 0), MATCH(orders!K$1, products!$A$1:$G$1, 0))</f>
        <v>0.5</v>
      </c>
      <c r="L799" s="5">
        <f>INDEX(products!$A$1:$G$49, MATCH(orders!$D799, products!$A$1:$A$49, 0), MATCH(orders!L$1, products!$A$1:$G$1, 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 MATCH(orders!$D800, products!$A$1:$A$49, 0), MATCH(orders!I$1, products!$A$1:$G$1, 0))</f>
        <v>Rob</v>
      </c>
      <c r="J800" t="str">
        <f>INDEX(products!$A$1:$G$49, MATCH(orders!$D800, products!$A$1:$A$49, 0), MATCH(orders!J$1, products!$A$1:$G$1, 0))</f>
        <v>D</v>
      </c>
      <c r="K800" s="4">
        <f>INDEX(products!$A$1:$G$49, MATCH(orders!$D800, products!$A$1:$A$49, 0), MATCH(orders!K$1, products!$A$1:$G$1, 0))</f>
        <v>0.2</v>
      </c>
      <c r="L800" s="5">
        <f>INDEX(products!$A$1:$G$49, MATCH(orders!$D800, products!$A$1:$A$49, 0), MATCH(orders!L$1, products!$A$1:$G$1, 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 MATCH(orders!$D801, products!$A$1:$A$49, 0), MATCH(orders!I$1, products!$A$1:$G$1, 0))</f>
        <v>Exc</v>
      </c>
      <c r="J801" t="str">
        <f>INDEX(products!$A$1:$G$49, MATCH(orders!$D801, products!$A$1:$A$49, 0), MATCH(orders!J$1, products!$A$1:$G$1, 0))</f>
        <v>D</v>
      </c>
      <c r="K801" s="4">
        <f>INDEX(products!$A$1:$G$49, MATCH(orders!$D801, products!$A$1:$A$49, 0), MATCH(orders!K$1, products!$A$1:$G$1, 0))</f>
        <v>1</v>
      </c>
      <c r="L801" s="5">
        <f>INDEX(products!$A$1:$G$49, MATCH(orders!$D801, products!$A$1:$A$49, 0), MATCH(orders!L$1, products!$A$1:$G$1, 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 MATCH(orders!$D802, products!$A$1:$A$49, 0), MATCH(orders!I$1, products!$A$1:$G$1, 0))</f>
        <v>Rob</v>
      </c>
      <c r="J802" t="str">
        <f>INDEX(products!$A$1:$G$49, MATCH(orders!$D802, products!$A$1:$A$49, 0), MATCH(orders!J$1, products!$A$1:$G$1, 0))</f>
        <v>D</v>
      </c>
      <c r="K802" s="4">
        <f>INDEX(products!$A$1:$G$49, MATCH(orders!$D802, products!$A$1:$A$49, 0), MATCH(orders!K$1, products!$A$1:$G$1, 0))</f>
        <v>0.2</v>
      </c>
      <c r="L802" s="5">
        <f>INDEX(products!$A$1:$G$49, MATCH(orders!$D802, products!$A$1:$A$49, 0), MATCH(orders!L$1, products!$A$1:$G$1, 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 MATCH(orders!$D803, products!$A$1:$A$49, 0), MATCH(orders!I$1, products!$A$1:$G$1, 0))</f>
        <v>Rob</v>
      </c>
      <c r="J803" t="str">
        <f>INDEX(products!$A$1:$G$49, MATCH(orders!$D803, products!$A$1:$A$49, 0), MATCH(orders!J$1, products!$A$1:$G$1, 0))</f>
        <v>D</v>
      </c>
      <c r="K803" s="4">
        <f>INDEX(products!$A$1:$G$49, MATCH(orders!$D803, products!$A$1:$A$49, 0), MATCH(orders!K$1, products!$A$1:$G$1, 0))</f>
        <v>2.5</v>
      </c>
      <c r="L803" s="5">
        <f>INDEX(products!$A$1:$G$49, MATCH(orders!$D803, products!$A$1:$A$49, 0), MATCH(orders!L$1, products!$A$1:$G$1, 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 MATCH(orders!$D804, products!$A$1:$A$49, 0), MATCH(orders!I$1, products!$A$1:$G$1, 0))</f>
        <v>Rob</v>
      </c>
      <c r="J804" t="str">
        <f>INDEX(products!$A$1:$G$49, MATCH(orders!$D804, products!$A$1:$A$49, 0), MATCH(orders!J$1, products!$A$1:$G$1, 0))</f>
        <v>D</v>
      </c>
      <c r="K804" s="4">
        <f>INDEX(products!$A$1:$G$49, MATCH(orders!$D804, products!$A$1:$A$49, 0), MATCH(orders!K$1, products!$A$1:$G$1, 0))</f>
        <v>0.2</v>
      </c>
      <c r="L804" s="5">
        <f>INDEX(products!$A$1:$G$49, MATCH(orders!$D804, products!$A$1:$A$49, 0), MATCH(orders!L$1, products!$A$1:$G$1, 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 MATCH(orders!$D805, products!$A$1:$A$49, 0), MATCH(orders!I$1, products!$A$1:$G$1, 0))</f>
        <v>Exc</v>
      </c>
      <c r="J805" t="str">
        <f>INDEX(products!$A$1:$G$49, MATCH(orders!$D805, products!$A$1:$A$49, 0), MATCH(orders!J$1, products!$A$1:$G$1, 0))</f>
        <v>M</v>
      </c>
      <c r="K805" s="4">
        <f>INDEX(products!$A$1:$G$49, MATCH(orders!$D805, products!$A$1:$A$49, 0), MATCH(orders!K$1, products!$A$1:$G$1, 0))</f>
        <v>2.5</v>
      </c>
      <c r="L805" s="5">
        <f>INDEX(products!$A$1:$G$49, MATCH(orders!$D805, products!$A$1:$A$49, 0), MATCH(orders!L$1, products!$A$1:$G$1, 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 MATCH(orders!$D806, products!$A$1:$A$49, 0), MATCH(orders!I$1, products!$A$1:$G$1, 0))</f>
        <v>Rob</v>
      </c>
      <c r="J806" t="str">
        <f>INDEX(products!$A$1:$G$49, MATCH(orders!$D806, products!$A$1:$A$49, 0), MATCH(orders!J$1, products!$A$1:$G$1, 0))</f>
        <v>L</v>
      </c>
      <c r="K806" s="4">
        <f>INDEX(products!$A$1:$G$49, MATCH(orders!$D806, products!$A$1:$A$49, 0), MATCH(orders!K$1, products!$A$1:$G$1, 0))</f>
        <v>1</v>
      </c>
      <c r="L806" s="5">
        <f>INDEX(products!$A$1:$G$49, MATCH(orders!$D806, products!$A$1:$A$49, 0), MATCH(orders!L$1, products!$A$1:$G$1, 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 MATCH(orders!$D807, products!$A$1:$A$49, 0), MATCH(orders!I$1, products!$A$1:$G$1, 0))</f>
        <v>Rob</v>
      </c>
      <c r="J807" t="str">
        <f>INDEX(products!$A$1:$G$49, MATCH(orders!$D807, products!$A$1:$A$49, 0), MATCH(orders!J$1, products!$A$1:$G$1, 0))</f>
        <v>M</v>
      </c>
      <c r="K807" s="4">
        <f>INDEX(products!$A$1:$G$49, MATCH(orders!$D807, products!$A$1:$A$49, 0), MATCH(orders!K$1, products!$A$1:$G$1, 0))</f>
        <v>0.5</v>
      </c>
      <c r="L807" s="5">
        <f>INDEX(products!$A$1:$G$49, MATCH(orders!$D807, products!$A$1:$A$49, 0), MATCH(orders!L$1, products!$A$1:$G$1, 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 MATCH(orders!$D808, products!$A$1:$A$49, 0), MATCH(orders!I$1, products!$A$1:$G$1, 0))</f>
        <v>Lib</v>
      </c>
      <c r="J808" t="str">
        <f>INDEX(products!$A$1:$G$49, MATCH(orders!$D808, products!$A$1:$A$49, 0), MATCH(orders!J$1, products!$A$1:$G$1, 0))</f>
        <v>D</v>
      </c>
      <c r="K808" s="4">
        <f>INDEX(products!$A$1:$G$49, MATCH(orders!$D808, products!$A$1:$A$49, 0), MATCH(orders!K$1, products!$A$1:$G$1, 0))</f>
        <v>0.2</v>
      </c>
      <c r="L808" s="5">
        <f>INDEX(products!$A$1:$G$49, MATCH(orders!$D808, products!$A$1:$A$49, 0), MATCH(orders!L$1, products!$A$1:$G$1, 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 MATCH(orders!$D809, products!$A$1:$A$49, 0), MATCH(orders!I$1, products!$A$1:$G$1, 0))</f>
        <v>Lib</v>
      </c>
      <c r="J809" t="str">
        <f>INDEX(products!$A$1:$G$49, MATCH(orders!$D809, products!$A$1:$A$49, 0), MATCH(orders!J$1, products!$A$1:$G$1, 0))</f>
        <v>D</v>
      </c>
      <c r="K809" s="4">
        <f>INDEX(products!$A$1:$G$49, MATCH(orders!$D809, products!$A$1:$A$49, 0), MATCH(orders!K$1, products!$A$1:$G$1, 0))</f>
        <v>0.5</v>
      </c>
      <c r="L809" s="5">
        <f>INDEX(products!$A$1:$G$49, MATCH(orders!$D809, products!$A$1:$A$49, 0), MATCH(orders!L$1, products!$A$1:$G$1, 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 MATCH(orders!$D810, products!$A$1:$A$49, 0), MATCH(orders!I$1, products!$A$1:$G$1, 0))</f>
        <v>Rob</v>
      </c>
      <c r="J810" t="str">
        <f>INDEX(products!$A$1:$G$49, MATCH(orders!$D810, products!$A$1:$A$49, 0), MATCH(orders!J$1, products!$A$1:$G$1, 0))</f>
        <v>L</v>
      </c>
      <c r="K810" s="4">
        <f>INDEX(products!$A$1:$G$49, MATCH(orders!$D810, products!$A$1:$A$49, 0), MATCH(orders!K$1, products!$A$1:$G$1, 0))</f>
        <v>2.5</v>
      </c>
      <c r="L810" s="5">
        <f>INDEX(products!$A$1:$G$49, MATCH(orders!$D810, products!$A$1:$A$49, 0), MATCH(orders!L$1, products!$A$1:$G$1, 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 MATCH(orders!$D811, products!$A$1:$A$49, 0), MATCH(orders!I$1, products!$A$1:$G$1, 0))</f>
        <v>Rob</v>
      </c>
      <c r="J811" t="str">
        <f>INDEX(products!$A$1:$G$49, MATCH(orders!$D811, products!$A$1:$A$49, 0), MATCH(orders!J$1, products!$A$1:$G$1, 0))</f>
        <v>D</v>
      </c>
      <c r="K811" s="4">
        <f>INDEX(products!$A$1:$G$49, MATCH(orders!$D811, products!$A$1:$A$49, 0), MATCH(orders!K$1, products!$A$1:$G$1, 0))</f>
        <v>0.2</v>
      </c>
      <c r="L811" s="5">
        <f>INDEX(products!$A$1:$G$49, MATCH(orders!$D811, products!$A$1:$A$49, 0), MATCH(orders!L$1, products!$A$1:$G$1, 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 MATCH(orders!$D812, products!$A$1:$A$49, 0), MATCH(orders!I$1, products!$A$1:$G$1, 0))</f>
        <v>Lib</v>
      </c>
      <c r="J812" t="str">
        <f>INDEX(products!$A$1:$G$49, MATCH(orders!$D812, products!$A$1:$A$49, 0), MATCH(orders!J$1, products!$A$1:$G$1, 0))</f>
        <v>L</v>
      </c>
      <c r="K812" s="4">
        <f>INDEX(products!$A$1:$G$49, MATCH(orders!$D812, products!$A$1:$A$49, 0), MATCH(orders!K$1, products!$A$1:$G$1, 0))</f>
        <v>0.5</v>
      </c>
      <c r="L812" s="5">
        <f>INDEX(products!$A$1:$G$49, MATCH(orders!$D812, products!$A$1:$A$49, 0), MATCH(orders!L$1, products!$A$1:$G$1, 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 MATCH(orders!$D813, products!$A$1:$A$49, 0), MATCH(orders!I$1, products!$A$1:$G$1, 0))</f>
        <v>Ara</v>
      </c>
      <c r="J813" t="str">
        <f>INDEX(products!$A$1:$G$49, MATCH(orders!$D813, products!$A$1:$A$49, 0), MATCH(orders!J$1, products!$A$1:$G$1, 0))</f>
        <v>M</v>
      </c>
      <c r="K813" s="4">
        <f>INDEX(products!$A$1:$G$49, MATCH(orders!$D813, products!$A$1:$A$49, 0), MATCH(orders!K$1, products!$A$1:$G$1, 0))</f>
        <v>1</v>
      </c>
      <c r="L813" s="5">
        <f>INDEX(products!$A$1:$G$49, MATCH(orders!$D813, products!$A$1:$A$49, 0), MATCH(orders!L$1, products!$A$1:$G$1, 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 MATCH(orders!$D814, products!$A$1:$A$49, 0), MATCH(orders!I$1, products!$A$1:$G$1, 0))</f>
        <v>Lib</v>
      </c>
      <c r="J814" t="str">
        <f>INDEX(products!$A$1:$G$49, MATCH(orders!$D814, products!$A$1:$A$49, 0), MATCH(orders!J$1, products!$A$1:$G$1, 0))</f>
        <v>D</v>
      </c>
      <c r="K814" s="4">
        <f>INDEX(products!$A$1:$G$49, MATCH(orders!$D814, products!$A$1:$A$49, 0), MATCH(orders!K$1, products!$A$1:$G$1, 0))</f>
        <v>2.5</v>
      </c>
      <c r="L814" s="5">
        <f>INDEX(products!$A$1:$G$49, MATCH(orders!$D814, products!$A$1:$A$49, 0), MATCH(orders!L$1, products!$A$1:$G$1, 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 MATCH(orders!$D815, products!$A$1:$A$49, 0), MATCH(orders!I$1, products!$A$1:$G$1, 0))</f>
        <v>Exc</v>
      </c>
      <c r="J815" t="str">
        <f>INDEX(products!$A$1:$G$49, MATCH(orders!$D815, products!$A$1:$A$49, 0), MATCH(orders!J$1, products!$A$1:$G$1, 0))</f>
        <v>M</v>
      </c>
      <c r="K815" s="4">
        <f>INDEX(products!$A$1:$G$49, MATCH(orders!$D815, products!$A$1:$A$49, 0), MATCH(orders!K$1, products!$A$1:$G$1, 0))</f>
        <v>2.5</v>
      </c>
      <c r="L815" s="5">
        <f>INDEX(products!$A$1:$G$49, MATCH(orders!$D815, products!$A$1:$A$49, 0), MATCH(orders!L$1, products!$A$1:$G$1, 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 MATCH(orders!$D816, products!$A$1:$A$49, 0), MATCH(orders!I$1, products!$A$1:$G$1, 0))</f>
        <v>Exc</v>
      </c>
      <c r="J816" t="str">
        <f>INDEX(products!$A$1:$G$49, MATCH(orders!$D816, products!$A$1:$A$49, 0), MATCH(orders!J$1, products!$A$1:$G$1, 0))</f>
        <v>L</v>
      </c>
      <c r="K816" s="4">
        <f>INDEX(products!$A$1:$G$49, MATCH(orders!$D816, products!$A$1:$A$49, 0), MATCH(orders!K$1, products!$A$1:$G$1, 0))</f>
        <v>0.2</v>
      </c>
      <c r="L816" s="5">
        <f>INDEX(products!$A$1:$G$49, MATCH(orders!$D816, products!$A$1:$A$49, 0), MATCH(orders!L$1, products!$A$1:$G$1, 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 MATCH(orders!$D817, products!$A$1:$A$49, 0), MATCH(orders!I$1, products!$A$1:$G$1, 0))</f>
        <v>Rob</v>
      </c>
      <c r="J817" t="str">
        <f>INDEX(products!$A$1:$G$49, MATCH(orders!$D817, products!$A$1:$A$49, 0), MATCH(orders!J$1, products!$A$1:$G$1, 0))</f>
        <v>M</v>
      </c>
      <c r="K817" s="4">
        <f>INDEX(products!$A$1:$G$49, MATCH(orders!$D817, products!$A$1:$A$49, 0), MATCH(orders!K$1, products!$A$1:$G$1, 0))</f>
        <v>0.5</v>
      </c>
      <c r="L817" s="5">
        <f>INDEX(products!$A$1:$G$49, MATCH(orders!$D817, products!$A$1:$A$49, 0), MATCH(orders!L$1, products!$A$1:$G$1, 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 MATCH(orders!$D818, products!$A$1:$A$49, 0), MATCH(orders!I$1, products!$A$1:$G$1, 0))</f>
        <v>Lib</v>
      </c>
      <c r="J818" t="str">
        <f>INDEX(products!$A$1:$G$49, MATCH(orders!$D818, products!$A$1:$A$49, 0), MATCH(orders!J$1, products!$A$1:$G$1, 0))</f>
        <v>L</v>
      </c>
      <c r="K818" s="4">
        <f>INDEX(products!$A$1:$G$49, MATCH(orders!$D818, products!$A$1:$A$49, 0), MATCH(orders!K$1, products!$A$1:$G$1, 0))</f>
        <v>0.5</v>
      </c>
      <c r="L818" s="5">
        <f>INDEX(products!$A$1:$G$49, MATCH(orders!$D818, products!$A$1:$A$49, 0), MATCH(orders!L$1, products!$A$1:$G$1, 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 MATCH(orders!$D819, products!$A$1:$A$49, 0), MATCH(orders!I$1, products!$A$1:$G$1, 0))</f>
        <v>Lib</v>
      </c>
      <c r="J819" t="str">
        <f>INDEX(products!$A$1:$G$49, MATCH(orders!$D819, products!$A$1:$A$49, 0), MATCH(orders!J$1, products!$A$1:$G$1, 0))</f>
        <v>D</v>
      </c>
      <c r="K819" s="4">
        <f>INDEX(products!$A$1:$G$49, MATCH(orders!$D819, products!$A$1:$A$49, 0), MATCH(orders!K$1, products!$A$1:$G$1, 0))</f>
        <v>0.5</v>
      </c>
      <c r="L819" s="5">
        <f>INDEX(products!$A$1:$G$49, MATCH(orders!$D819, products!$A$1:$A$49, 0), MATCH(orders!L$1, products!$A$1:$G$1, 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 MATCH(orders!$D820, products!$A$1:$A$49, 0), MATCH(orders!I$1, products!$A$1:$G$1, 0))</f>
        <v>Lib</v>
      </c>
      <c r="J820" t="str">
        <f>INDEX(products!$A$1:$G$49, MATCH(orders!$D820, products!$A$1:$A$49, 0), MATCH(orders!J$1, products!$A$1:$G$1, 0))</f>
        <v>L</v>
      </c>
      <c r="K820" s="4">
        <f>INDEX(products!$A$1:$G$49, MATCH(orders!$D820, products!$A$1:$A$49, 0), MATCH(orders!K$1, products!$A$1:$G$1, 0))</f>
        <v>1</v>
      </c>
      <c r="L820" s="5">
        <f>INDEX(products!$A$1:$G$49, MATCH(orders!$D820, products!$A$1:$A$49, 0), MATCH(orders!L$1, products!$A$1:$G$1, 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 MATCH(orders!$D821, products!$A$1:$A$49, 0), MATCH(orders!I$1, products!$A$1:$G$1, 0))</f>
        <v>Lib</v>
      </c>
      <c r="J821" t="str">
        <f>INDEX(products!$A$1:$G$49, MATCH(orders!$D821, products!$A$1:$A$49, 0), MATCH(orders!J$1, products!$A$1:$G$1, 0))</f>
        <v>L</v>
      </c>
      <c r="K821" s="4">
        <f>INDEX(products!$A$1:$G$49, MATCH(orders!$D821, products!$A$1:$A$49, 0), MATCH(orders!K$1, products!$A$1:$G$1, 0))</f>
        <v>0.2</v>
      </c>
      <c r="L821" s="5">
        <f>INDEX(products!$A$1:$G$49, MATCH(orders!$D821, products!$A$1:$A$49, 0), MATCH(orders!L$1, products!$A$1:$G$1, 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 MATCH(orders!$D822, products!$A$1:$A$49, 0), MATCH(orders!I$1, products!$A$1:$G$1, 0))</f>
        <v>Exc</v>
      </c>
      <c r="J822" t="str">
        <f>INDEX(products!$A$1:$G$49, MATCH(orders!$D822, products!$A$1:$A$49, 0), MATCH(orders!J$1, products!$A$1:$G$1, 0))</f>
        <v>M</v>
      </c>
      <c r="K822" s="4">
        <f>INDEX(products!$A$1:$G$49, MATCH(orders!$D822, products!$A$1:$A$49, 0), MATCH(orders!K$1, products!$A$1:$G$1, 0))</f>
        <v>1</v>
      </c>
      <c r="L822" s="5">
        <f>INDEX(products!$A$1:$G$49, MATCH(orders!$D822, products!$A$1:$A$49, 0), MATCH(orders!L$1, products!$A$1:$G$1, 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 MATCH(orders!$D823, products!$A$1:$A$49, 0), MATCH(orders!I$1, products!$A$1:$G$1, 0))</f>
        <v>Rob</v>
      </c>
      <c r="J823" t="str">
        <f>INDEX(products!$A$1:$G$49, MATCH(orders!$D823, products!$A$1:$A$49, 0), MATCH(orders!J$1, products!$A$1:$G$1, 0))</f>
        <v>D</v>
      </c>
      <c r="K823" s="4">
        <f>INDEX(products!$A$1:$G$49, MATCH(orders!$D823, products!$A$1:$A$49, 0), MATCH(orders!K$1, products!$A$1:$G$1, 0))</f>
        <v>0.5</v>
      </c>
      <c r="L823" s="5">
        <f>INDEX(products!$A$1:$G$49, MATCH(orders!$D823, products!$A$1:$A$49, 0), MATCH(orders!L$1, products!$A$1:$G$1, 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 MATCH(orders!$D824, products!$A$1:$A$49, 0), MATCH(orders!I$1, products!$A$1:$G$1, 0))</f>
        <v>Exc</v>
      </c>
      <c r="J824" t="str">
        <f>INDEX(products!$A$1:$G$49, MATCH(orders!$D824, products!$A$1:$A$49, 0), MATCH(orders!J$1, products!$A$1:$G$1, 0))</f>
        <v>L</v>
      </c>
      <c r="K824" s="4">
        <f>INDEX(products!$A$1:$G$49, MATCH(orders!$D824, products!$A$1:$A$49, 0), MATCH(orders!K$1, products!$A$1:$G$1, 0))</f>
        <v>2.5</v>
      </c>
      <c r="L824" s="5">
        <f>INDEX(products!$A$1:$G$49, MATCH(orders!$D824, products!$A$1:$A$49, 0), MATCH(orders!L$1, products!$A$1:$G$1, 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 MATCH(orders!$D825, products!$A$1:$A$49, 0), MATCH(orders!I$1, products!$A$1:$G$1, 0))</f>
        <v>Lib</v>
      </c>
      <c r="J825" t="str">
        <f>INDEX(products!$A$1:$G$49, MATCH(orders!$D825, products!$A$1:$A$49, 0), MATCH(orders!J$1, products!$A$1:$G$1, 0))</f>
        <v>L</v>
      </c>
      <c r="K825" s="4">
        <f>INDEX(products!$A$1:$G$49, MATCH(orders!$D825, products!$A$1:$A$49, 0), MATCH(orders!K$1, products!$A$1:$G$1, 0))</f>
        <v>1</v>
      </c>
      <c r="L825" s="5">
        <f>INDEX(products!$A$1:$G$49, MATCH(orders!$D825, products!$A$1:$A$49, 0), MATCH(orders!L$1, products!$A$1:$G$1, 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 MATCH(orders!$D826, products!$A$1:$A$49, 0), MATCH(orders!I$1, products!$A$1:$G$1, 0))</f>
        <v>Ara</v>
      </c>
      <c r="J826" t="str">
        <f>INDEX(products!$A$1:$G$49, MATCH(orders!$D826, products!$A$1:$A$49, 0), MATCH(orders!J$1, products!$A$1:$G$1, 0))</f>
        <v>M</v>
      </c>
      <c r="K826" s="4">
        <f>INDEX(products!$A$1:$G$49, MATCH(orders!$D826, products!$A$1:$A$49, 0), MATCH(orders!K$1, products!$A$1:$G$1, 0))</f>
        <v>0.2</v>
      </c>
      <c r="L826" s="5">
        <f>INDEX(products!$A$1:$G$49, MATCH(orders!$D826, products!$A$1:$A$49, 0), MATCH(orders!L$1, products!$A$1:$G$1, 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 MATCH(orders!$D827, products!$A$1:$A$49, 0), MATCH(orders!I$1, products!$A$1:$G$1, 0))</f>
        <v>Ara</v>
      </c>
      <c r="J827" t="str">
        <f>INDEX(products!$A$1:$G$49, MATCH(orders!$D827, products!$A$1:$A$49, 0), MATCH(orders!J$1, products!$A$1:$G$1, 0))</f>
        <v>D</v>
      </c>
      <c r="K827" s="4">
        <f>INDEX(products!$A$1:$G$49, MATCH(orders!$D827, products!$A$1:$A$49, 0), MATCH(orders!K$1, products!$A$1:$G$1, 0))</f>
        <v>1</v>
      </c>
      <c r="L827" s="5">
        <f>INDEX(products!$A$1:$G$49, MATCH(orders!$D827, products!$A$1:$A$49, 0), MATCH(orders!L$1, products!$A$1:$G$1, 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 MATCH(orders!$D828, products!$A$1:$A$49, 0), MATCH(orders!I$1, products!$A$1:$G$1, 0))</f>
        <v>Exc</v>
      </c>
      <c r="J828" t="str">
        <f>INDEX(products!$A$1:$G$49, MATCH(orders!$D828, products!$A$1:$A$49, 0), MATCH(orders!J$1, products!$A$1:$G$1, 0))</f>
        <v>M</v>
      </c>
      <c r="K828" s="4">
        <f>INDEX(products!$A$1:$G$49, MATCH(orders!$D828, products!$A$1:$A$49, 0), MATCH(orders!K$1, products!$A$1:$G$1, 0))</f>
        <v>0.5</v>
      </c>
      <c r="L828" s="5">
        <f>INDEX(products!$A$1:$G$49, MATCH(orders!$D828, products!$A$1:$A$49, 0), MATCH(orders!L$1, products!$A$1:$G$1, 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 MATCH(orders!$D829, products!$A$1:$A$49, 0), MATCH(orders!I$1, products!$A$1:$G$1, 0))</f>
        <v>Exc</v>
      </c>
      <c r="J829" t="str">
        <f>INDEX(products!$A$1:$G$49, MATCH(orders!$D829, products!$A$1:$A$49, 0), MATCH(orders!J$1, products!$A$1:$G$1, 0))</f>
        <v>M</v>
      </c>
      <c r="K829" s="4">
        <f>INDEX(products!$A$1:$G$49, MATCH(orders!$D829, products!$A$1:$A$49, 0), MATCH(orders!K$1, products!$A$1:$G$1, 0))</f>
        <v>0.2</v>
      </c>
      <c r="L829" s="5">
        <f>INDEX(products!$A$1:$G$49, MATCH(orders!$D829, products!$A$1:$A$49, 0), MATCH(orders!L$1, products!$A$1:$G$1, 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 MATCH(orders!$D830, products!$A$1:$A$49, 0), MATCH(orders!I$1, products!$A$1:$G$1, 0))</f>
        <v>Ara</v>
      </c>
      <c r="J830" t="str">
        <f>INDEX(products!$A$1:$G$49, MATCH(orders!$D830, products!$A$1:$A$49, 0), MATCH(orders!J$1, products!$A$1:$G$1, 0))</f>
        <v>D</v>
      </c>
      <c r="K830" s="4">
        <f>INDEX(products!$A$1:$G$49, MATCH(orders!$D830, products!$A$1:$A$49, 0), MATCH(orders!K$1, products!$A$1:$G$1, 0))</f>
        <v>2.5</v>
      </c>
      <c r="L830" s="5">
        <f>INDEX(products!$A$1:$G$49, MATCH(orders!$D830, products!$A$1:$A$49, 0), MATCH(orders!L$1, products!$A$1:$G$1, 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 MATCH(orders!$D831, products!$A$1:$A$49, 0), MATCH(orders!I$1, products!$A$1:$G$1, 0))</f>
        <v>Ara</v>
      </c>
      <c r="J831" t="str">
        <f>INDEX(products!$A$1:$G$49, MATCH(orders!$D831, products!$A$1:$A$49, 0), MATCH(orders!J$1, products!$A$1:$G$1, 0))</f>
        <v>D</v>
      </c>
      <c r="K831" s="4">
        <f>INDEX(products!$A$1:$G$49, MATCH(orders!$D831, products!$A$1:$A$49, 0), MATCH(orders!K$1, products!$A$1:$G$1, 0))</f>
        <v>0.2</v>
      </c>
      <c r="L831" s="5">
        <f>INDEX(products!$A$1:$G$49, MATCH(orders!$D831, products!$A$1:$A$49, 0), MATCH(orders!L$1, products!$A$1:$G$1, 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 MATCH(orders!$D832, products!$A$1:$A$49, 0), MATCH(orders!I$1, products!$A$1:$G$1, 0))</f>
        <v>Exc</v>
      </c>
      <c r="J832" t="str">
        <f>INDEX(products!$A$1:$G$49, MATCH(orders!$D832, products!$A$1:$A$49, 0), MATCH(orders!J$1, products!$A$1:$G$1, 0))</f>
        <v>M</v>
      </c>
      <c r="K832" s="4">
        <f>INDEX(products!$A$1:$G$49, MATCH(orders!$D832, products!$A$1:$A$49, 0), MATCH(orders!K$1, products!$A$1:$G$1, 0))</f>
        <v>1</v>
      </c>
      <c r="L832" s="5">
        <f>INDEX(products!$A$1:$G$49, MATCH(orders!$D832, products!$A$1:$A$49, 0), MATCH(orders!L$1, products!$A$1:$G$1, 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 MATCH(orders!$D833, products!$A$1:$A$49, 0), MATCH(orders!I$1, products!$A$1:$G$1, 0))</f>
        <v>Ara</v>
      </c>
      <c r="J833" t="str">
        <f>INDEX(products!$A$1:$G$49, MATCH(orders!$D833, products!$A$1:$A$49, 0), MATCH(orders!J$1, products!$A$1:$G$1, 0))</f>
        <v>D</v>
      </c>
      <c r="K833" s="4">
        <f>INDEX(products!$A$1:$G$49, MATCH(orders!$D833, products!$A$1:$A$49, 0), MATCH(orders!K$1, products!$A$1:$G$1, 0))</f>
        <v>0.2</v>
      </c>
      <c r="L833" s="5">
        <f>INDEX(products!$A$1:$G$49, MATCH(orders!$D833, products!$A$1:$A$49, 0), MATCH(orders!L$1, products!$A$1:$G$1, 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 MATCH(orders!$D834, products!$A$1:$A$49, 0), MATCH(orders!I$1, products!$A$1:$G$1, 0))</f>
        <v>Rob</v>
      </c>
      <c r="J834" t="str">
        <f>INDEX(products!$A$1:$G$49, MATCH(orders!$D834, products!$A$1:$A$49, 0), MATCH(orders!J$1, products!$A$1:$G$1, 0))</f>
        <v>M</v>
      </c>
      <c r="K834" s="4">
        <f>INDEX(products!$A$1:$G$49, MATCH(orders!$D834, products!$A$1:$A$49, 0), MATCH(orders!K$1, products!$A$1:$G$1, 0))</f>
        <v>1</v>
      </c>
      <c r="L834" s="5">
        <f>INDEX(products!$A$1:$G$49, MATCH(orders!$D834, products!$A$1:$A$49, 0), MATCH(orders!L$1, products!$A$1:$G$1, 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 MATCH(orders!$D835, products!$A$1:$A$49, 0), MATCH(orders!I$1, products!$A$1:$G$1, 0))</f>
        <v>Rob</v>
      </c>
      <c r="J835" t="str">
        <f>INDEX(products!$A$1:$G$49, MATCH(orders!$D835, products!$A$1:$A$49, 0), MATCH(orders!J$1, products!$A$1:$G$1, 0))</f>
        <v>D</v>
      </c>
      <c r="K835" s="4">
        <f>INDEX(products!$A$1:$G$49, MATCH(orders!$D835, products!$A$1:$A$49, 0), MATCH(orders!K$1, products!$A$1:$G$1, 0))</f>
        <v>2.5</v>
      </c>
      <c r="L835" s="5">
        <f>INDEX(products!$A$1:$G$49, MATCH(orders!$D835, products!$A$1:$A$49, 0), MATCH(orders!L$1, products!$A$1:$G$1, 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 MATCH(orders!$D836, products!$A$1:$A$49, 0), MATCH(orders!I$1, products!$A$1:$G$1, 0))</f>
        <v>Ara</v>
      </c>
      <c r="J836" t="str">
        <f>INDEX(products!$A$1:$G$49, MATCH(orders!$D836, products!$A$1:$A$49, 0), MATCH(orders!J$1, products!$A$1:$G$1, 0))</f>
        <v>D</v>
      </c>
      <c r="K836" s="4">
        <f>INDEX(products!$A$1:$G$49, MATCH(orders!$D836, products!$A$1:$A$49, 0), MATCH(orders!K$1, products!$A$1:$G$1, 0))</f>
        <v>2.5</v>
      </c>
      <c r="L836" s="5">
        <f>INDEX(products!$A$1:$G$49, MATCH(orders!$D836, products!$A$1:$A$49, 0), MATCH(orders!L$1, products!$A$1:$G$1, 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 MATCH(orders!$D837, products!$A$1:$A$49, 0), MATCH(orders!I$1, products!$A$1:$G$1, 0))</f>
        <v>Exc</v>
      </c>
      <c r="J837" t="str">
        <f>INDEX(products!$A$1:$G$49, MATCH(orders!$D837, products!$A$1:$A$49, 0), MATCH(orders!J$1, products!$A$1:$G$1, 0))</f>
        <v>L</v>
      </c>
      <c r="K837" s="4">
        <f>INDEX(products!$A$1:$G$49, MATCH(orders!$D837, products!$A$1:$A$49, 0), MATCH(orders!K$1, products!$A$1:$G$1, 0))</f>
        <v>0.5</v>
      </c>
      <c r="L837" s="5">
        <f>INDEX(products!$A$1:$G$49, MATCH(orders!$D837, products!$A$1:$A$49, 0), MATCH(orders!L$1, products!$A$1:$G$1, 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 MATCH(orders!$D838, products!$A$1:$A$49, 0), MATCH(orders!I$1, products!$A$1:$G$1, 0))</f>
        <v>Ara</v>
      </c>
      <c r="J838" t="str">
        <f>INDEX(products!$A$1:$G$49, MATCH(orders!$D838, products!$A$1:$A$49, 0), MATCH(orders!J$1, products!$A$1:$G$1, 0))</f>
        <v>D</v>
      </c>
      <c r="K838" s="4">
        <f>INDEX(products!$A$1:$G$49, MATCH(orders!$D838, products!$A$1:$A$49, 0), MATCH(orders!K$1, products!$A$1:$G$1, 0))</f>
        <v>0.2</v>
      </c>
      <c r="L838" s="5">
        <f>INDEX(products!$A$1:$G$49, MATCH(orders!$D838, products!$A$1:$A$49, 0), MATCH(orders!L$1, products!$A$1:$G$1, 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 MATCH(orders!$D839, products!$A$1:$A$49, 0), MATCH(orders!I$1, products!$A$1:$G$1, 0))</f>
        <v>Lib</v>
      </c>
      <c r="J839" t="str">
        <f>INDEX(products!$A$1:$G$49, MATCH(orders!$D839, products!$A$1:$A$49, 0), MATCH(orders!J$1, products!$A$1:$G$1, 0))</f>
        <v>M</v>
      </c>
      <c r="K839" s="4">
        <f>INDEX(products!$A$1:$G$49, MATCH(orders!$D839, products!$A$1:$A$49, 0), MATCH(orders!K$1, products!$A$1:$G$1, 0))</f>
        <v>2.5</v>
      </c>
      <c r="L839" s="5">
        <f>INDEX(products!$A$1:$G$49, MATCH(orders!$D839, products!$A$1:$A$49, 0), MATCH(orders!L$1, products!$A$1:$G$1, 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 MATCH(orders!$D840, products!$A$1:$A$49, 0), MATCH(orders!I$1, products!$A$1:$G$1, 0))</f>
        <v>Ara</v>
      </c>
      <c r="J840" t="str">
        <f>INDEX(products!$A$1:$G$49, MATCH(orders!$D840, products!$A$1:$A$49, 0), MATCH(orders!J$1, products!$A$1:$G$1, 0))</f>
        <v>D</v>
      </c>
      <c r="K840" s="4">
        <f>INDEX(products!$A$1:$G$49, MATCH(orders!$D840, products!$A$1:$A$49, 0), MATCH(orders!K$1, products!$A$1:$G$1, 0))</f>
        <v>2.5</v>
      </c>
      <c r="L840" s="5">
        <f>INDEX(products!$A$1:$G$49, MATCH(orders!$D840, products!$A$1:$A$49, 0), MATCH(orders!L$1, products!$A$1:$G$1, 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 MATCH(orders!$D841, products!$A$1:$A$49, 0), MATCH(orders!I$1, products!$A$1:$G$1, 0))</f>
        <v>Exc</v>
      </c>
      <c r="J841" t="str">
        <f>INDEX(products!$A$1:$G$49, MATCH(orders!$D841, products!$A$1:$A$49, 0), MATCH(orders!J$1, products!$A$1:$G$1, 0))</f>
        <v>M</v>
      </c>
      <c r="K841" s="4">
        <f>INDEX(products!$A$1:$G$49, MATCH(orders!$D841, products!$A$1:$A$49, 0), MATCH(orders!K$1, products!$A$1:$G$1, 0))</f>
        <v>0.5</v>
      </c>
      <c r="L841" s="5">
        <f>INDEX(products!$A$1:$G$49, MATCH(orders!$D841, products!$A$1:$A$49, 0), MATCH(orders!L$1, products!$A$1:$G$1, 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 MATCH(orders!$D842, products!$A$1:$A$49, 0), MATCH(orders!I$1, products!$A$1:$G$1, 0))</f>
        <v>Rob</v>
      </c>
      <c r="J842" t="str">
        <f>INDEX(products!$A$1:$G$49, MATCH(orders!$D842, products!$A$1:$A$49, 0), MATCH(orders!J$1, products!$A$1:$G$1, 0))</f>
        <v>L</v>
      </c>
      <c r="K842" s="4">
        <f>INDEX(products!$A$1:$G$49, MATCH(orders!$D842, products!$A$1:$A$49, 0), MATCH(orders!K$1, products!$A$1:$G$1, 0))</f>
        <v>0.5</v>
      </c>
      <c r="L842" s="5">
        <f>INDEX(products!$A$1:$G$49, MATCH(orders!$D842, products!$A$1:$A$49, 0), MATCH(orders!L$1, products!$A$1:$G$1, 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 MATCH(orders!$D843, products!$A$1:$A$49, 0), MATCH(orders!I$1, products!$A$1:$G$1, 0))</f>
        <v>Lib</v>
      </c>
      <c r="J843" t="str">
        <f>INDEX(products!$A$1:$G$49, MATCH(orders!$D843, products!$A$1:$A$49, 0), MATCH(orders!J$1, products!$A$1:$G$1, 0))</f>
        <v>M</v>
      </c>
      <c r="K843" s="4">
        <f>INDEX(products!$A$1:$G$49, MATCH(orders!$D843, products!$A$1:$A$49, 0), MATCH(orders!K$1, products!$A$1:$G$1, 0))</f>
        <v>0.2</v>
      </c>
      <c r="L843" s="5">
        <f>INDEX(products!$A$1:$G$49, MATCH(orders!$D843, products!$A$1:$A$49, 0), MATCH(orders!L$1, products!$A$1:$G$1, 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 MATCH(orders!$D844, products!$A$1:$A$49, 0), MATCH(orders!I$1, products!$A$1:$G$1, 0))</f>
        <v>Exc</v>
      </c>
      <c r="J844" t="str">
        <f>INDEX(products!$A$1:$G$49, MATCH(orders!$D844, products!$A$1:$A$49, 0), MATCH(orders!J$1, products!$A$1:$G$1, 0))</f>
        <v>M</v>
      </c>
      <c r="K844" s="4">
        <f>INDEX(products!$A$1:$G$49, MATCH(orders!$D844, products!$A$1:$A$49, 0), MATCH(orders!K$1, products!$A$1:$G$1, 0))</f>
        <v>0.2</v>
      </c>
      <c r="L844" s="5">
        <f>INDEX(products!$A$1:$G$49, MATCH(orders!$D844, products!$A$1:$A$49, 0), MATCH(orders!L$1, products!$A$1:$G$1, 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 MATCH(orders!$D845, products!$A$1:$A$49, 0), MATCH(orders!I$1, products!$A$1:$G$1, 0))</f>
        <v>Exc</v>
      </c>
      <c r="J845" t="str">
        <f>INDEX(products!$A$1:$G$49, MATCH(orders!$D845, products!$A$1:$A$49, 0), MATCH(orders!J$1, products!$A$1:$G$1, 0))</f>
        <v>M</v>
      </c>
      <c r="K845" s="4">
        <f>INDEX(products!$A$1:$G$49, MATCH(orders!$D845, products!$A$1:$A$49, 0), MATCH(orders!K$1, products!$A$1:$G$1, 0))</f>
        <v>0.2</v>
      </c>
      <c r="L845" s="5">
        <f>INDEX(products!$A$1:$G$49, MATCH(orders!$D845, products!$A$1:$A$49, 0), MATCH(orders!L$1, products!$A$1:$G$1, 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 MATCH(orders!$D846, products!$A$1:$A$49, 0), MATCH(orders!I$1, products!$A$1:$G$1, 0))</f>
        <v>Ara</v>
      </c>
      <c r="J846" t="str">
        <f>INDEX(products!$A$1:$G$49, MATCH(orders!$D846, products!$A$1:$A$49, 0), MATCH(orders!J$1, products!$A$1:$G$1, 0))</f>
        <v>D</v>
      </c>
      <c r="K846" s="4">
        <f>INDEX(products!$A$1:$G$49, MATCH(orders!$D846, products!$A$1:$A$49, 0), MATCH(orders!K$1, products!$A$1:$G$1, 0))</f>
        <v>0.5</v>
      </c>
      <c r="L846" s="5">
        <f>INDEX(products!$A$1:$G$49, MATCH(orders!$D846, products!$A$1:$A$49, 0), MATCH(orders!L$1, products!$A$1:$G$1, 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 MATCH(orders!$D847, products!$A$1:$A$49, 0), MATCH(orders!I$1, products!$A$1:$G$1, 0))</f>
        <v>Exc</v>
      </c>
      <c r="J847" t="str">
        <f>INDEX(products!$A$1:$G$49, MATCH(orders!$D847, products!$A$1:$A$49, 0), MATCH(orders!J$1, products!$A$1:$G$1, 0))</f>
        <v>D</v>
      </c>
      <c r="K847" s="4">
        <f>INDEX(products!$A$1:$G$49, MATCH(orders!$D847, products!$A$1:$A$49, 0), MATCH(orders!K$1, products!$A$1:$G$1, 0))</f>
        <v>2.5</v>
      </c>
      <c r="L847" s="5">
        <f>INDEX(products!$A$1:$G$49, MATCH(orders!$D847, products!$A$1:$A$49, 0), MATCH(orders!L$1, products!$A$1:$G$1, 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 MATCH(orders!$D848, products!$A$1:$A$49, 0), MATCH(orders!I$1, products!$A$1:$G$1, 0))</f>
        <v>Ara</v>
      </c>
      <c r="J848" t="str">
        <f>INDEX(products!$A$1:$G$49, MATCH(orders!$D848, products!$A$1:$A$49, 0), MATCH(orders!J$1, products!$A$1:$G$1, 0))</f>
        <v>M</v>
      </c>
      <c r="K848" s="4">
        <f>INDEX(products!$A$1:$G$49, MATCH(orders!$D848, products!$A$1:$A$49, 0), MATCH(orders!K$1, products!$A$1:$G$1, 0))</f>
        <v>2.5</v>
      </c>
      <c r="L848" s="5">
        <f>INDEX(products!$A$1:$G$49, MATCH(orders!$D848, products!$A$1:$A$49, 0), MATCH(orders!L$1, products!$A$1:$G$1, 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 MATCH(orders!$D849, products!$A$1:$A$49, 0), MATCH(orders!I$1, products!$A$1:$G$1, 0))</f>
        <v>Ara</v>
      </c>
      <c r="J849" t="str">
        <f>INDEX(products!$A$1:$G$49, MATCH(orders!$D849, products!$A$1:$A$49, 0), MATCH(orders!J$1, products!$A$1:$G$1, 0))</f>
        <v>D</v>
      </c>
      <c r="K849" s="4">
        <f>INDEX(products!$A$1:$G$49, MATCH(orders!$D849, products!$A$1:$A$49, 0), MATCH(orders!K$1, products!$A$1:$G$1, 0))</f>
        <v>0.2</v>
      </c>
      <c r="L849" s="5">
        <f>INDEX(products!$A$1:$G$49, MATCH(orders!$D849, products!$A$1:$A$49, 0), MATCH(orders!L$1, products!$A$1:$G$1, 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 MATCH(orders!$D850, products!$A$1:$A$49, 0), MATCH(orders!I$1, products!$A$1:$G$1, 0))</f>
        <v>Exc</v>
      </c>
      <c r="J850" t="str">
        <f>INDEX(products!$A$1:$G$49, MATCH(orders!$D850, products!$A$1:$A$49, 0), MATCH(orders!J$1, products!$A$1:$G$1, 0))</f>
        <v>L</v>
      </c>
      <c r="K850" s="4">
        <f>INDEX(products!$A$1:$G$49, MATCH(orders!$D850, products!$A$1:$A$49, 0), MATCH(orders!K$1, products!$A$1:$G$1, 0))</f>
        <v>0.5</v>
      </c>
      <c r="L850" s="5">
        <f>INDEX(products!$A$1:$G$49, MATCH(orders!$D850, products!$A$1:$A$49, 0), MATCH(orders!L$1, products!$A$1:$G$1, 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 MATCH(orders!$D851, products!$A$1:$A$49, 0), MATCH(orders!I$1, products!$A$1:$G$1, 0))</f>
        <v>Ara</v>
      </c>
      <c r="J851" t="str">
        <f>INDEX(products!$A$1:$G$49, MATCH(orders!$D851, products!$A$1:$A$49, 0), MATCH(orders!J$1, products!$A$1:$G$1, 0))</f>
        <v>L</v>
      </c>
      <c r="K851" s="4">
        <f>INDEX(products!$A$1:$G$49, MATCH(orders!$D851, products!$A$1:$A$49, 0), MATCH(orders!K$1, products!$A$1:$G$1, 0))</f>
        <v>0.2</v>
      </c>
      <c r="L851" s="5">
        <f>INDEX(products!$A$1:$G$49, MATCH(orders!$D851, products!$A$1:$A$49, 0), MATCH(orders!L$1, products!$A$1:$G$1, 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 MATCH(orders!$D852, products!$A$1:$A$49, 0), MATCH(orders!I$1, products!$A$1:$G$1, 0))</f>
        <v>Ara</v>
      </c>
      <c r="J852" t="str">
        <f>INDEX(products!$A$1:$G$49, MATCH(orders!$D852, products!$A$1:$A$49, 0), MATCH(orders!J$1, products!$A$1:$G$1, 0))</f>
        <v>M</v>
      </c>
      <c r="K852" s="4">
        <f>INDEX(products!$A$1:$G$49, MATCH(orders!$D852, products!$A$1:$A$49, 0), MATCH(orders!K$1, products!$A$1:$G$1, 0))</f>
        <v>0.2</v>
      </c>
      <c r="L852" s="5">
        <f>INDEX(products!$A$1:$G$49, MATCH(orders!$D852, products!$A$1:$A$49, 0), MATCH(orders!L$1, products!$A$1:$G$1, 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 MATCH(orders!$D853, products!$A$1:$A$49, 0), MATCH(orders!I$1, products!$A$1:$G$1, 0))</f>
        <v>Lib</v>
      </c>
      <c r="J853" t="str">
        <f>INDEX(products!$A$1:$G$49, MATCH(orders!$D853, products!$A$1:$A$49, 0), MATCH(orders!J$1, products!$A$1:$G$1, 0))</f>
        <v>D</v>
      </c>
      <c r="K853" s="4">
        <f>INDEX(products!$A$1:$G$49, MATCH(orders!$D853, products!$A$1:$A$49, 0), MATCH(orders!K$1, products!$A$1:$G$1, 0))</f>
        <v>0.5</v>
      </c>
      <c r="L853" s="5">
        <f>INDEX(products!$A$1:$G$49, MATCH(orders!$D853, products!$A$1:$A$49, 0), MATCH(orders!L$1, products!$A$1:$G$1, 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 MATCH(orders!$D854, products!$A$1:$A$49, 0), MATCH(orders!I$1, products!$A$1:$G$1, 0))</f>
        <v>Lib</v>
      </c>
      <c r="J854" t="str">
        <f>INDEX(products!$A$1:$G$49, MATCH(orders!$D854, products!$A$1:$A$49, 0), MATCH(orders!J$1, products!$A$1:$G$1, 0))</f>
        <v>D</v>
      </c>
      <c r="K854" s="4">
        <f>INDEX(products!$A$1:$G$49, MATCH(orders!$D854, products!$A$1:$A$49, 0), MATCH(orders!K$1, products!$A$1:$G$1, 0))</f>
        <v>2.5</v>
      </c>
      <c r="L854" s="5">
        <f>INDEX(products!$A$1:$G$49, MATCH(orders!$D854, products!$A$1:$A$49, 0), MATCH(orders!L$1, products!$A$1:$G$1, 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 MATCH(orders!$D855, products!$A$1:$A$49, 0), MATCH(orders!I$1, products!$A$1:$G$1, 0))</f>
        <v>Ara</v>
      </c>
      <c r="J855" t="str">
        <f>INDEX(products!$A$1:$G$49, MATCH(orders!$D855, products!$A$1:$A$49, 0), MATCH(orders!J$1, products!$A$1:$G$1, 0))</f>
        <v>D</v>
      </c>
      <c r="K855" s="4">
        <f>INDEX(products!$A$1:$G$49, MATCH(orders!$D855, products!$A$1:$A$49, 0), MATCH(orders!K$1, products!$A$1:$G$1, 0))</f>
        <v>1</v>
      </c>
      <c r="L855" s="5">
        <f>INDEX(products!$A$1:$G$49, MATCH(orders!$D855, products!$A$1:$A$49, 0), MATCH(orders!L$1, products!$A$1:$G$1, 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 MATCH(orders!$D856, products!$A$1:$A$49, 0), MATCH(orders!I$1, products!$A$1:$G$1, 0))</f>
        <v>Rob</v>
      </c>
      <c r="J856" t="str">
        <f>INDEX(products!$A$1:$G$49, MATCH(orders!$D856, products!$A$1:$A$49, 0), MATCH(orders!J$1, products!$A$1:$G$1, 0))</f>
        <v>L</v>
      </c>
      <c r="K856" s="4">
        <f>INDEX(products!$A$1:$G$49, MATCH(orders!$D856, products!$A$1:$A$49, 0), MATCH(orders!K$1, products!$A$1:$G$1, 0))</f>
        <v>0.5</v>
      </c>
      <c r="L856" s="5">
        <f>INDEX(products!$A$1:$G$49, MATCH(orders!$D856, products!$A$1:$A$49, 0), MATCH(orders!L$1, products!$A$1:$G$1, 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 MATCH(orders!$D857, products!$A$1:$A$49, 0), MATCH(orders!I$1, products!$A$1:$G$1, 0))</f>
        <v>Lib</v>
      </c>
      <c r="J857" t="str">
        <f>INDEX(products!$A$1:$G$49, MATCH(orders!$D857, products!$A$1:$A$49, 0), MATCH(orders!J$1, products!$A$1:$G$1, 0))</f>
        <v>D</v>
      </c>
      <c r="K857" s="4">
        <f>INDEX(products!$A$1:$G$49, MATCH(orders!$D857, products!$A$1:$A$49, 0), MATCH(orders!K$1, products!$A$1:$G$1, 0))</f>
        <v>2.5</v>
      </c>
      <c r="L857" s="5">
        <f>INDEX(products!$A$1:$G$49, MATCH(orders!$D857, products!$A$1:$A$49, 0), MATCH(orders!L$1, products!$A$1:$G$1, 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 MATCH(orders!$D858, products!$A$1:$A$49, 0), MATCH(orders!I$1, products!$A$1:$G$1, 0))</f>
        <v>Lib</v>
      </c>
      <c r="J858" t="str">
        <f>INDEX(products!$A$1:$G$49, MATCH(orders!$D858, products!$A$1:$A$49, 0), MATCH(orders!J$1, products!$A$1:$G$1, 0))</f>
        <v>M</v>
      </c>
      <c r="K858" s="4">
        <f>INDEX(products!$A$1:$G$49, MATCH(orders!$D858, products!$A$1:$A$49, 0), MATCH(orders!K$1, products!$A$1:$G$1, 0))</f>
        <v>0.2</v>
      </c>
      <c r="L858" s="5">
        <f>INDEX(products!$A$1:$G$49, MATCH(orders!$D858, products!$A$1:$A$49, 0), MATCH(orders!L$1, products!$A$1:$G$1, 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 MATCH(orders!$D859, products!$A$1:$A$49, 0), MATCH(orders!I$1, products!$A$1:$G$1, 0))</f>
        <v>Rob</v>
      </c>
      <c r="J859" t="str">
        <f>INDEX(products!$A$1:$G$49, MATCH(orders!$D859, products!$A$1:$A$49, 0), MATCH(orders!J$1, products!$A$1:$G$1, 0))</f>
        <v>L</v>
      </c>
      <c r="K859" s="4">
        <f>INDEX(products!$A$1:$G$49, MATCH(orders!$D859, products!$A$1:$A$49, 0), MATCH(orders!K$1, products!$A$1:$G$1, 0))</f>
        <v>2.5</v>
      </c>
      <c r="L859" s="5">
        <f>INDEX(products!$A$1:$G$49, MATCH(orders!$D859, products!$A$1:$A$49, 0), MATCH(orders!L$1, products!$A$1:$G$1, 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 MATCH(orders!$D860, products!$A$1:$A$49, 0), MATCH(orders!I$1, products!$A$1:$G$1, 0))</f>
        <v>Lib</v>
      </c>
      <c r="J860" t="str">
        <f>INDEX(products!$A$1:$G$49, MATCH(orders!$D860, products!$A$1:$A$49, 0), MATCH(orders!J$1, products!$A$1:$G$1, 0))</f>
        <v>M</v>
      </c>
      <c r="K860" s="4">
        <f>INDEX(products!$A$1:$G$49, MATCH(orders!$D860, products!$A$1:$A$49, 0), MATCH(orders!K$1, products!$A$1:$G$1, 0))</f>
        <v>0.5</v>
      </c>
      <c r="L860" s="5">
        <f>INDEX(products!$A$1:$G$49, MATCH(orders!$D860, products!$A$1:$A$49, 0), MATCH(orders!L$1, products!$A$1:$G$1, 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 MATCH(orders!$D861, products!$A$1:$A$49, 0), MATCH(orders!I$1, products!$A$1:$G$1, 0))</f>
        <v>Ara</v>
      </c>
      <c r="J861" t="str">
        <f>INDEX(products!$A$1:$G$49, MATCH(orders!$D861, products!$A$1:$A$49, 0), MATCH(orders!J$1, products!$A$1:$G$1, 0))</f>
        <v>L</v>
      </c>
      <c r="K861" s="4">
        <f>INDEX(products!$A$1:$G$49, MATCH(orders!$D861, products!$A$1:$A$49, 0), MATCH(orders!K$1, products!$A$1:$G$1, 0))</f>
        <v>2.5</v>
      </c>
      <c r="L861" s="5">
        <f>INDEX(products!$A$1:$G$49, MATCH(orders!$D861, products!$A$1:$A$49, 0), MATCH(orders!L$1, products!$A$1:$G$1, 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 MATCH(orders!$D862, products!$A$1:$A$49, 0), MATCH(orders!I$1, products!$A$1:$G$1, 0))</f>
        <v>Ara</v>
      </c>
      <c r="J862" t="str">
        <f>INDEX(products!$A$1:$G$49, MATCH(orders!$D862, products!$A$1:$A$49, 0), MATCH(orders!J$1, products!$A$1:$G$1, 0))</f>
        <v>M</v>
      </c>
      <c r="K862" s="4">
        <f>INDEX(products!$A$1:$G$49, MATCH(orders!$D862, products!$A$1:$A$49, 0), MATCH(orders!K$1, products!$A$1:$G$1, 0))</f>
        <v>2.5</v>
      </c>
      <c r="L862" s="5">
        <f>INDEX(products!$A$1:$G$49, MATCH(orders!$D862, products!$A$1:$A$49, 0), MATCH(orders!L$1, products!$A$1:$G$1, 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 MATCH(orders!$D863, products!$A$1:$A$49, 0), MATCH(orders!I$1, products!$A$1:$G$1, 0))</f>
        <v>Lib</v>
      </c>
      <c r="J863" t="str">
        <f>INDEX(products!$A$1:$G$49, MATCH(orders!$D863, products!$A$1:$A$49, 0), MATCH(orders!J$1, products!$A$1:$G$1, 0))</f>
        <v>D</v>
      </c>
      <c r="K863" s="4">
        <f>INDEX(products!$A$1:$G$49, MATCH(orders!$D863, products!$A$1:$A$49, 0), MATCH(orders!K$1, products!$A$1:$G$1, 0))</f>
        <v>1</v>
      </c>
      <c r="L863" s="5">
        <f>INDEX(products!$A$1:$G$49, MATCH(orders!$D863, products!$A$1:$A$49, 0), MATCH(orders!L$1, products!$A$1:$G$1, 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 MATCH(orders!$D864, products!$A$1:$A$49, 0), MATCH(orders!I$1, products!$A$1:$G$1, 0))</f>
        <v>Rob</v>
      </c>
      <c r="J864" t="str">
        <f>INDEX(products!$A$1:$G$49, MATCH(orders!$D864, products!$A$1:$A$49, 0), MATCH(orders!J$1, products!$A$1:$G$1, 0))</f>
        <v>M</v>
      </c>
      <c r="K864" s="4">
        <f>INDEX(products!$A$1:$G$49, MATCH(orders!$D864, products!$A$1:$A$49, 0), MATCH(orders!K$1, products!$A$1:$G$1, 0))</f>
        <v>1</v>
      </c>
      <c r="L864" s="5">
        <f>INDEX(products!$A$1:$G$49, MATCH(orders!$D864, products!$A$1:$A$49, 0), MATCH(orders!L$1, products!$A$1:$G$1, 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 MATCH(orders!$D865, products!$A$1:$A$49, 0), MATCH(orders!I$1, products!$A$1:$G$1, 0))</f>
        <v>Lib</v>
      </c>
      <c r="J865" t="str">
        <f>INDEX(products!$A$1:$G$49, MATCH(orders!$D865, products!$A$1:$A$49, 0), MATCH(orders!J$1, products!$A$1:$G$1, 0))</f>
        <v>M</v>
      </c>
      <c r="K865" s="4">
        <f>INDEX(products!$A$1:$G$49, MATCH(orders!$D865, products!$A$1:$A$49, 0), MATCH(orders!K$1, products!$A$1:$G$1, 0))</f>
        <v>1</v>
      </c>
      <c r="L865" s="5">
        <f>INDEX(products!$A$1:$G$49, MATCH(orders!$D865, products!$A$1:$A$49, 0), MATCH(orders!L$1, products!$A$1:$G$1, 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 MATCH(orders!$D866, products!$A$1:$A$49, 0), MATCH(orders!I$1, products!$A$1:$G$1, 0))</f>
        <v>Rob</v>
      </c>
      <c r="J866" t="str">
        <f>INDEX(products!$A$1:$G$49, MATCH(orders!$D866, products!$A$1:$A$49, 0), MATCH(orders!J$1, products!$A$1:$G$1, 0))</f>
        <v>L</v>
      </c>
      <c r="K866" s="4">
        <f>INDEX(products!$A$1:$G$49, MATCH(orders!$D866, products!$A$1:$A$49, 0), MATCH(orders!K$1, products!$A$1:$G$1, 0))</f>
        <v>0.2</v>
      </c>
      <c r="L866" s="5">
        <f>INDEX(products!$A$1:$G$49, MATCH(orders!$D866, products!$A$1:$A$49, 0), MATCH(orders!L$1, products!$A$1:$G$1, 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 MATCH(orders!$D867, products!$A$1:$A$49, 0), MATCH(orders!I$1, products!$A$1:$G$1, 0))</f>
        <v>Ara</v>
      </c>
      <c r="J867" t="str">
        <f>INDEX(products!$A$1:$G$49, MATCH(orders!$D867, products!$A$1:$A$49, 0), MATCH(orders!J$1, products!$A$1:$G$1, 0))</f>
        <v>M</v>
      </c>
      <c r="K867" s="4">
        <f>INDEX(products!$A$1:$G$49, MATCH(orders!$D867, products!$A$1:$A$49, 0), MATCH(orders!K$1, products!$A$1:$G$1, 0))</f>
        <v>0.5</v>
      </c>
      <c r="L867" s="5">
        <f>INDEX(products!$A$1:$G$49, MATCH(orders!$D867, products!$A$1:$A$49, 0), MATCH(orders!L$1, products!$A$1:$G$1, 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 MATCH(orders!$D868, products!$A$1:$A$49, 0), MATCH(orders!I$1, products!$A$1:$G$1, 0))</f>
        <v>Ara</v>
      </c>
      <c r="J868" t="str">
        <f>INDEX(products!$A$1:$G$49, MATCH(orders!$D868, products!$A$1:$A$49, 0), MATCH(orders!J$1, products!$A$1:$G$1, 0))</f>
        <v>D</v>
      </c>
      <c r="K868" s="4">
        <f>INDEX(products!$A$1:$G$49, MATCH(orders!$D868, products!$A$1:$A$49, 0), MATCH(orders!K$1, products!$A$1:$G$1, 0))</f>
        <v>0.5</v>
      </c>
      <c r="L868" s="5">
        <f>INDEX(products!$A$1:$G$49, MATCH(orders!$D868, products!$A$1:$A$49, 0), MATCH(orders!L$1, products!$A$1:$G$1, 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 MATCH(orders!$D869, products!$A$1:$A$49, 0), MATCH(orders!I$1, products!$A$1:$G$1, 0))</f>
        <v>Ara</v>
      </c>
      <c r="J869" t="str">
        <f>INDEX(products!$A$1:$G$49, MATCH(orders!$D869, products!$A$1:$A$49, 0), MATCH(orders!J$1, products!$A$1:$G$1, 0))</f>
        <v>L</v>
      </c>
      <c r="K869" s="4">
        <f>INDEX(products!$A$1:$G$49, MATCH(orders!$D869, products!$A$1:$A$49, 0), MATCH(orders!K$1, products!$A$1:$G$1, 0))</f>
        <v>2.5</v>
      </c>
      <c r="L869" s="5">
        <f>INDEX(products!$A$1:$G$49, MATCH(orders!$D869, products!$A$1:$A$49, 0), MATCH(orders!L$1, products!$A$1:$G$1, 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 MATCH(orders!$D870, products!$A$1:$A$49, 0), MATCH(orders!I$1, products!$A$1:$G$1, 0))</f>
        <v>Exc</v>
      </c>
      <c r="J870" t="str">
        <f>INDEX(products!$A$1:$G$49, MATCH(orders!$D870, products!$A$1:$A$49, 0), MATCH(orders!J$1, products!$A$1:$G$1, 0))</f>
        <v>M</v>
      </c>
      <c r="K870" s="4">
        <f>INDEX(products!$A$1:$G$49, MATCH(orders!$D870, products!$A$1:$A$49, 0), MATCH(orders!K$1, products!$A$1:$G$1, 0))</f>
        <v>0.5</v>
      </c>
      <c r="L870" s="5">
        <f>INDEX(products!$A$1:$G$49, MATCH(orders!$D870, products!$A$1:$A$49, 0), MATCH(orders!L$1, products!$A$1:$G$1, 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 MATCH(orders!$D871, products!$A$1:$A$49, 0), MATCH(orders!I$1, products!$A$1:$G$1, 0))</f>
        <v>Rob</v>
      </c>
      <c r="J871" t="str">
        <f>INDEX(products!$A$1:$G$49, MATCH(orders!$D871, products!$A$1:$A$49, 0), MATCH(orders!J$1, products!$A$1:$G$1, 0))</f>
        <v>M</v>
      </c>
      <c r="K871" s="4">
        <f>INDEX(products!$A$1:$G$49, MATCH(orders!$D871, products!$A$1:$A$49, 0), MATCH(orders!K$1, products!$A$1:$G$1, 0))</f>
        <v>0.5</v>
      </c>
      <c r="L871" s="5">
        <f>INDEX(products!$A$1:$G$49, MATCH(orders!$D871, products!$A$1:$A$49, 0), MATCH(orders!L$1, products!$A$1:$G$1, 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 MATCH(orders!$D872, products!$A$1:$A$49, 0), MATCH(orders!I$1, products!$A$1:$G$1, 0))</f>
        <v>Exc</v>
      </c>
      <c r="J872" t="str">
        <f>INDEX(products!$A$1:$G$49, MATCH(orders!$D872, products!$A$1:$A$49, 0), MATCH(orders!J$1, products!$A$1:$G$1, 0))</f>
        <v>D</v>
      </c>
      <c r="K872" s="4">
        <f>INDEX(products!$A$1:$G$49, MATCH(orders!$D872, products!$A$1:$A$49, 0), MATCH(orders!K$1, products!$A$1:$G$1, 0))</f>
        <v>0.5</v>
      </c>
      <c r="L872" s="5">
        <f>INDEX(products!$A$1:$G$49, MATCH(orders!$D872, products!$A$1:$A$49, 0), MATCH(orders!L$1, products!$A$1:$G$1, 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 MATCH(orders!$D873, products!$A$1:$A$49, 0), MATCH(orders!I$1, products!$A$1:$G$1, 0))</f>
        <v>Exc</v>
      </c>
      <c r="J873" t="str">
        <f>INDEX(products!$A$1:$G$49, MATCH(orders!$D873, products!$A$1:$A$49, 0), MATCH(orders!J$1, products!$A$1:$G$1, 0))</f>
        <v>L</v>
      </c>
      <c r="K873" s="4">
        <f>INDEX(products!$A$1:$G$49, MATCH(orders!$D873, products!$A$1:$A$49, 0), MATCH(orders!K$1, products!$A$1:$G$1, 0))</f>
        <v>1</v>
      </c>
      <c r="L873" s="5">
        <f>INDEX(products!$A$1:$G$49, MATCH(orders!$D873, products!$A$1:$A$49, 0), MATCH(orders!L$1, products!$A$1:$G$1, 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 MATCH(orders!$D874, products!$A$1:$A$49, 0), MATCH(orders!I$1, products!$A$1:$G$1, 0))</f>
        <v>Ara</v>
      </c>
      <c r="J874" t="str">
        <f>INDEX(products!$A$1:$G$49, MATCH(orders!$D874, products!$A$1:$A$49, 0), MATCH(orders!J$1, products!$A$1:$G$1, 0))</f>
        <v>M</v>
      </c>
      <c r="K874" s="4">
        <f>INDEX(products!$A$1:$G$49, MATCH(orders!$D874, products!$A$1:$A$49, 0), MATCH(orders!K$1, products!$A$1:$G$1, 0))</f>
        <v>1</v>
      </c>
      <c r="L874" s="5">
        <f>INDEX(products!$A$1:$G$49, MATCH(orders!$D874, products!$A$1:$A$49, 0), MATCH(orders!L$1, products!$A$1:$G$1, 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 MATCH(orders!$D875, products!$A$1:$A$49, 0), MATCH(orders!I$1, products!$A$1:$G$1, 0))</f>
        <v>Rob</v>
      </c>
      <c r="J875" t="str">
        <f>INDEX(products!$A$1:$G$49, MATCH(orders!$D875, products!$A$1:$A$49, 0), MATCH(orders!J$1, products!$A$1:$G$1, 0))</f>
        <v>M</v>
      </c>
      <c r="K875" s="4">
        <f>INDEX(products!$A$1:$G$49, MATCH(orders!$D875, products!$A$1:$A$49, 0), MATCH(orders!K$1, products!$A$1:$G$1, 0))</f>
        <v>0.2</v>
      </c>
      <c r="L875" s="5">
        <f>INDEX(products!$A$1:$G$49, MATCH(orders!$D875, products!$A$1:$A$49, 0), MATCH(orders!L$1, products!$A$1:$G$1, 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 MATCH(orders!$D876, products!$A$1:$A$49, 0), MATCH(orders!I$1, products!$A$1:$G$1, 0))</f>
        <v>Ara</v>
      </c>
      <c r="J876" t="str">
        <f>INDEX(products!$A$1:$G$49, MATCH(orders!$D876, products!$A$1:$A$49, 0), MATCH(orders!J$1, products!$A$1:$G$1, 0))</f>
        <v>L</v>
      </c>
      <c r="K876" s="4">
        <f>INDEX(products!$A$1:$G$49, MATCH(orders!$D876, products!$A$1:$A$49, 0), MATCH(orders!K$1, products!$A$1:$G$1, 0))</f>
        <v>1</v>
      </c>
      <c r="L876" s="5">
        <f>INDEX(products!$A$1:$G$49, MATCH(orders!$D876, products!$A$1:$A$49, 0), MATCH(orders!L$1, products!$A$1:$G$1, 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 MATCH(orders!$D877, products!$A$1:$A$49, 0), MATCH(orders!I$1, products!$A$1:$G$1, 0))</f>
        <v>Lib</v>
      </c>
      <c r="J877" t="str">
        <f>INDEX(products!$A$1:$G$49, MATCH(orders!$D877, products!$A$1:$A$49, 0), MATCH(orders!J$1, products!$A$1:$G$1, 0))</f>
        <v>M</v>
      </c>
      <c r="K877" s="4">
        <f>INDEX(products!$A$1:$G$49, MATCH(orders!$D877, products!$A$1:$A$49, 0), MATCH(orders!K$1, products!$A$1:$G$1, 0))</f>
        <v>0.5</v>
      </c>
      <c r="L877" s="5">
        <f>INDEX(products!$A$1:$G$49, MATCH(orders!$D877, products!$A$1:$A$49, 0), MATCH(orders!L$1, products!$A$1:$G$1, 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 MATCH(orders!$D878, products!$A$1:$A$49, 0), MATCH(orders!I$1, products!$A$1:$G$1, 0))</f>
        <v>Ara</v>
      </c>
      <c r="J878" t="str">
        <f>INDEX(products!$A$1:$G$49, MATCH(orders!$D878, products!$A$1:$A$49, 0), MATCH(orders!J$1, products!$A$1:$G$1, 0))</f>
        <v>L</v>
      </c>
      <c r="K878" s="4">
        <f>INDEX(products!$A$1:$G$49, MATCH(orders!$D878, products!$A$1:$A$49, 0), MATCH(orders!K$1, products!$A$1:$G$1, 0))</f>
        <v>0.5</v>
      </c>
      <c r="L878" s="5">
        <f>INDEX(products!$A$1:$G$49, MATCH(orders!$D878, products!$A$1:$A$49, 0), MATCH(orders!L$1, products!$A$1:$G$1, 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 MATCH(orders!$D879, products!$A$1:$A$49, 0), MATCH(orders!I$1, products!$A$1:$G$1, 0))</f>
        <v>Lib</v>
      </c>
      <c r="J879" t="str">
        <f>INDEX(products!$A$1:$G$49, MATCH(orders!$D879, products!$A$1:$A$49, 0), MATCH(orders!J$1, products!$A$1:$G$1, 0))</f>
        <v>L</v>
      </c>
      <c r="K879" s="4">
        <f>INDEX(products!$A$1:$G$49, MATCH(orders!$D879, products!$A$1:$A$49, 0), MATCH(orders!K$1, products!$A$1:$G$1, 0))</f>
        <v>0.5</v>
      </c>
      <c r="L879" s="5">
        <f>INDEX(products!$A$1:$G$49, MATCH(orders!$D879, products!$A$1:$A$49, 0), MATCH(orders!L$1, products!$A$1:$G$1, 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 MATCH(orders!$D880, products!$A$1:$A$49, 0), MATCH(orders!I$1, products!$A$1:$G$1, 0))</f>
        <v>Rob</v>
      </c>
      <c r="J880" t="str">
        <f>INDEX(products!$A$1:$G$49, MATCH(orders!$D880, products!$A$1:$A$49, 0), MATCH(orders!J$1, products!$A$1:$G$1, 0))</f>
        <v>L</v>
      </c>
      <c r="K880" s="4">
        <f>INDEX(products!$A$1:$G$49, MATCH(orders!$D880, products!$A$1:$A$49, 0), MATCH(orders!K$1, products!$A$1:$G$1, 0))</f>
        <v>2.5</v>
      </c>
      <c r="L880" s="5">
        <f>INDEX(products!$A$1:$G$49, MATCH(orders!$D880, products!$A$1:$A$49, 0), MATCH(orders!L$1, products!$A$1:$G$1, 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 MATCH(orders!$D881, products!$A$1:$A$49, 0), MATCH(orders!I$1, products!$A$1:$G$1, 0))</f>
        <v>Exc</v>
      </c>
      <c r="J881" t="str">
        <f>INDEX(products!$A$1:$G$49, MATCH(orders!$D881, products!$A$1:$A$49, 0), MATCH(orders!J$1, products!$A$1:$G$1, 0))</f>
        <v>D</v>
      </c>
      <c r="K881" s="4">
        <f>INDEX(products!$A$1:$G$49, MATCH(orders!$D881, products!$A$1:$A$49, 0), MATCH(orders!K$1, products!$A$1:$G$1, 0))</f>
        <v>0.2</v>
      </c>
      <c r="L881" s="5">
        <f>INDEX(products!$A$1:$G$49, MATCH(orders!$D881, products!$A$1:$A$49, 0), MATCH(orders!L$1, products!$A$1:$G$1, 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 MATCH(orders!$D882, products!$A$1:$A$49, 0), MATCH(orders!I$1, products!$A$1:$G$1, 0))</f>
        <v>Rob</v>
      </c>
      <c r="J882" t="str">
        <f>INDEX(products!$A$1:$G$49, MATCH(orders!$D882, products!$A$1:$A$49, 0), MATCH(orders!J$1, products!$A$1:$G$1, 0))</f>
        <v>L</v>
      </c>
      <c r="K882" s="4">
        <f>INDEX(products!$A$1:$G$49, MATCH(orders!$D882, products!$A$1:$A$49, 0), MATCH(orders!K$1, products!$A$1:$G$1, 0))</f>
        <v>0.2</v>
      </c>
      <c r="L882" s="5">
        <f>INDEX(products!$A$1:$G$49, MATCH(orders!$D882, products!$A$1:$A$49, 0), MATCH(orders!L$1, products!$A$1:$G$1, 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 MATCH(orders!$D883, products!$A$1:$A$49, 0), MATCH(orders!I$1, products!$A$1:$G$1, 0))</f>
        <v>Ara</v>
      </c>
      <c r="J883" t="str">
        <f>INDEX(products!$A$1:$G$49, MATCH(orders!$D883, products!$A$1:$A$49, 0), MATCH(orders!J$1, products!$A$1:$G$1, 0))</f>
        <v>L</v>
      </c>
      <c r="K883" s="4">
        <f>INDEX(products!$A$1:$G$49, MATCH(orders!$D883, products!$A$1:$A$49, 0), MATCH(orders!K$1, products!$A$1:$G$1, 0))</f>
        <v>0.2</v>
      </c>
      <c r="L883" s="5">
        <f>INDEX(products!$A$1:$G$49, MATCH(orders!$D883, products!$A$1:$A$49, 0), MATCH(orders!L$1, products!$A$1:$G$1, 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 MATCH(orders!$D884, products!$A$1:$A$49, 0), MATCH(orders!I$1, products!$A$1:$G$1, 0))</f>
        <v>Ara</v>
      </c>
      <c r="J884" t="str">
        <f>INDEX(products!$A$1:$G$49, MATCH(orders!$D884, products!$A$1:$A$49, 0), MATCH(orders!J$1, products!$A$1:$G$1, 0))</f>
        <v>D</v>
      </c>
      <c r="K884" s="4">
        <f>INDEX(products!$A$1:$G$49, MATCH(orders!$D884, products!$A$1:$A$49, 0), MATCH(orders!K$1, products!$A$1:$G$1, 0))</f>
        <v>2.5</v>
      </c>
      <c r="L884" s="5">
        <f>INDEX(products!$A$1:$G$49, MATCH(orders!$D884, products!$A$1:$A$49, 0), MATCH(orders!L$1, products!$A$1:$G$1, 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 MATCH(orders!$D885, products!$A$1:$A$49, 0), MATCH(orders!I$1, products!$A$1:$G$1, 0))</f>
        <v>Ara</v>
      </c>
      <c r="J885" t="str">
        <f>INDEX(products!$A$1:$G$49, MATCH(orders!$D885, products!$A$1:$A$49, 0), MATCH(orders!J$1, products!$A$1:$G$1, 0))</f>
        <v>M</v>
      </c>
      <c r="K885" s="4">
        <f>INDEX(products!$A$1:$G$49, MATCH(orders!$D885, products!$A$1:$A$49, 0), MATCH(orders!K$1, products!$A$1:$G$1, 0))</f>
        <v>2.5</v>
      </c>
      <c r="L885" s="5">
        <f>INDEX(products!$A$1:$G$49, MATCH(orders!$D885, products!$A$1:$A$49, 0), MATCH(orders!L$1, products!$A$1:$G$1, 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 MATCH(orders!$D886, products!$A$1:$A$49, 0), MATCH(orders!I$1, products!$A$1:$G$1, 0))</f>
        <v>Rob</v>
      </c>
      <c r="J886" t="str">
        <f>INDEX(products!$A$1:$G$49, MATCH(orders!$D886, products!$A$1:$A$49, 0), MATCH(orders!J$1, products!$A$1:$G$1, 0))</f>
        <v>D</v>
      </c>
      <c r="K886" s="4">
        <f>INDEX(products!$A$1:$G$49, MATCH(orders!$D886, products!$A$1:$A$49, 0), MATCH(orders!K$1, products!$A$1:$G$1, 0))</f>
        <v>0.5</v>
      </c>
      <c r="L886" s="5">
        <f>INDEX(products!$A$1:$G$49, MATCH(orders!$D886, products!$A$1:$A$49, 0), MATCH(orders!L$1, products!$A$1:$G$1, 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 MATCH(orders!$D887, products!$A$1:$A$49, 0), MATCH(orders!I$1, products!$A$1:$G$1, 0))</f>
        <v>Rob</v>
      </c>
      <c r="J887" t="str">
        <f>INDEX(products!$A$1:$G$49, MATCH(orders!$D887, products!$A$1:$A$49, 0), MATCH(orders!J$1, products!$A$1:$G$1, 0))</f>
        <v>D</v>
      </c>
      <c r="K887" s="4">
        <f>INDEX(products!$A$1:$G$49, MATCH(orders!$D887, products!$A$1:$A$49, 0), MATCH(orders!K$1, products!$A$1:$G$1, 0))</f>
        <v>2.5</v>
      </c>
      <c r="L887" s="5">
        <f>INDEX(products!$A$1:$G$49, MATCH(orders!$D887, products!$A$1:$A$49, 0), MATCH(orders!L$1, products!$A$1:$G$1, 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 MATCH(orders!$D888, products!$A$1:$A$49, 0), MATCH(orders!I$1, products!$A$1:$G$1, 0))</f>
        <v>Lib</v>
      </c>
      <c r="J888" t="str">
        <f>INDEX(products!$A$1:$G$49, MATCH(orders!$D888, products!$A$1:$A$49, 0), MATCH(orders!J$1, products!$A$1:$G$1, 0))</f>
        <v>M</v>
      </c>
      <c r="K888" s="4">
        <f>INDEX(products!$A$1:$G$49, MATCH(orders!$D888, products!$A$1:$A$49, 0), MATCH(orders!K$1, products!$A$1:$G$1, 0))</f>
        <v>0.5</v>
      </c>
      <c r="L888" s="5">
        <f>INDEX(products!$A$1:$G$49, MATCH(orders!$D888, products!$A$1:$A$49, 0), MATCH(orders!L$1, products!$A$1:$G$1, 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 MATCH(orders!$D889, products!$A$1:$A$49, 0), MATCH(orders!I$1, products!$A$1:$G$1, 0))</f>
        <v>Exc</v>
      </c>
      <c r="J889" t="str">
        <f>INDEX(products!$A$1:$G$49, MATCH(orders!$D889, products!$A$1:$A$49, 0), MATCH(orders!J$1, products!$A$1:$G$1, 0))</f>
        <v>L</v>
      </c>
      <c r="K889" s="4">
        <f>INDEX(products!$A$1:$G$49, MATCH(orders!$D889, products!$A$1:$A$49, 0), MATCH(orders!K$1, products!$A$1:$G$1, 0))</f>
        <v>0.2</v>
      </c>
      <c r="L889" s="5">
        <f>INDEX(products!$A$1:$G$49, MATCH(orders!$D889, products!$A$1:$A$49, 0), MATCH(orders!L$1, products!$A$1:$G$1, 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 MATCH(orders!$D890, products!$A$1:$A$49, 0), MATCH(orders!I$1, products!$A$1:$G$1, 0))</f>
        <v>Ara</v>
      </c>
      <c r="J890" t="str">
        <f>INDEX(products!$A$1:$G$49, MATCH(orders!$D890, products!$A$1:$A$49, 0), MATCH(orders!J$1, products!$A$1:$G$1, 0))</f>
        <v>L</v>
      </c>
      <c r="K890" s="4">
        <f>INDEX(products!$A$1:$G$49, MATCH(orders!$D890, products!$A$1:$A$49, 0), MATCH(orders!K$1, products!$A$1:$G$1, 0))</f>
        <v>0.2</v>
      </c>
      <c r="L890" s="5">
        <f>INDEX(products!$A$1:$G$49, MATCH(orders!$D890, products!$A$1:$A$49, 0), MATCH(orders!L$1, products!$A$1:$G$1, 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 MATCH(orders!$D891, products!$A$1:$A$49, 0), MATCH(orders!I$1, products!$A$1:$G$1, 0))</f>
        <v>Rob</v>
      </c>
      <c r="J891" t="str">
        <f>INDEX(products!$A$1:$G$49, MATCH(orders!$D891, products!$A$1:$A$49, 0), MATCH(orders!J$1, products!$A$1:$G$1, 0))</f>
        <v>D</v>
      </c>
      <c r="K891" s="4">
        <f>INDEX(products!$A$1:$G$49, MATCH(orders!$D891, products!$A$1:$A$49, 0), MATCH(orders!K$1, products!$A$1:$G$1, 0))</f>
        <v>0.2</v>
      </c>
      <c r="L891" s="5">
        <f>INDEX(products!$A$1:$G$49, MATCH(orders!$D891, products!$A$1:$A$49, 0), MATCH(orders!L$1, products!$A$1:$G$1, 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 MATCH(orders!$D892, products!$A$1:$A$49, 0), MATCH(orders!I$1, products!$A$1:$G$1, 0))</f>
        <v>Rob</v>
      </c>
      <c r="J892" t="str">
        <f>INDEX(products!$A$1:$G$49, MATCH(orders!$D892, products!$A$1:$A$49, 0), MATCH(orders!J$1, products!$A$1:$G$1, 0))</f>
        <v>D</v>
      </c>
      <c r="K892" s="4">
        <f>INDEX(products!$A$1:$G$49, MATCH(orders!$D892, products!$A$1:$A$49, 0), MATCH(orders!K$1, products!$A$1:$G$1, 0))</f>
        <v>2.5</v>
      </c>
      <c r="L892" s="5">
        <f>INDEX(products!$A$1:$G$49, MATCH(orders!$D892, products!$A$1:$A$49, 0), MATCH(orders!L$1, products!$A$1:$G$1, 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 MATCH(orders!$D893, products!$A$1:$A$49, 0), MATCH(orders!I$1, products!$A$1:$G$1, 0))</f>
        <v>Ara</v>
      </c>
      <c r="J893" t="str">
        <f>INDEX(products!$A$1:$G$49, MATCH(orders!$D893, products!$A$1:$A$49, 0), MATCH(orders!J$1, products!$A$1:$G$1, 0))</f>
        <v>D</v>
      </c>
      <c r="K893" s="4">
        <f>INDEX(products!$A$1:$G$49, MATCH(orders!$D893, products!$A$1:$A$49, 0), MATCH(orders!K$1, products!$A$1:$G$1, 0))</f>
        <v>2.5</v>
      </c>
      <c r="L893" s="5">
        <f>INDEX(products!$A$1:$G$49, MATCH(orders!$D893, products!$A$1:$A$49, 0), MATCH(orders!L$1, products!$A$1:$G$1, 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 MATCH(orders!$D894, products!$A$1:$A$49, 0), MATCH(orders!I$1, products!$A$1:$G$1, 0))</f>
        <v>Exc</v>
      </c>
      <c r="J894" t="str">
        <f>INDEX(products!$A$1:$G$49, MATCH(orders!$D894, products!$A$1:$A$49, 0), MATCH(orders!J$1, products!$A$1:$G$1, 0))</f>
        <v>M</v>
      </c>
      <c r="K894" s="4">
        <f>INDEX(products!$A$1:$G$49, MATCH(orders!$D894, products!$A$1:$A$49, 0), MATCH(orders!K$1, products!$A$1:$G$1, 0))</f>
        <v>0.2</v>
      </c>
      <c r="L894" s="5">
        <f>INDEX(products!$A$1:$G$49, MATCH(orders!$D894, products!$A$1:$A$49, 0), MATCH(orders!L$1, products!$A$1:$G$1, 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 MATCH(orders!$D895, products!$A$1:$A$49, 0), MATCH(orders!I$1, products!$A$1:$G$1, 0))</f>
        <v>Lib</v>
      </c>
      <c r="J895" t="str">
        <f>INDEX(products!$A$1:$G$49, MATCH(orders!$D895, products!$A$1:$A$49, 0), MATCH(orders!J$1, products!$A$1:$G$1, 0))</f>
        <v>L</v>
      </c>
      <c r="K895" s="4">
        <f>INDEX(products!$A$1:$G$49, MATCH(orders!$D895, products!$A$1:$A$49, 0), MATCH(orders!K$1, products!$A$1:$G$1, 0))</f>
        <v>0.5</v>
      </c>
      <c r="L895" s="5">
        <f>INDEX(products!$A$1:$G$49, MATCH(orders!$D895, products!$A$1:$A$49, 0), MATCH(orders!L$1, products!$A$1:$G$1, 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 MATCH(orders!$D896, products!$A$1:$A$49, 0), MATCH(orders!I$1, products!$A$1:$G$1, 0))</f>
        <v>Rob</v>
      </c>
      <c r="J896" t="str">
        <f>INDEX(products!$A$1:$G$49, MATCH(orders!$D896, products!$A$1:$A$49, 0), MATCH(orders!J$1, products!$A$1:$G$1, 0))</f>
        <v>D</v>
      </c>
      <c r="K896" s="4">
        <f>INDEX(products!$A$1:$G$49, MATCH(orders!$D896, products!$A$1:$A$49, 0), MATCH(orders!K$1, products!$A$1:$G$1, 0))</f>
        <v>2.5</v>
      </c>
      <c r="L896" s="5">
        <f>INDEX(products!$A$1:$G$49, MATCH(orders!$D896, products!$A$1:$A$49, 0), MATCH(orders!L$1, products!$A$1:$G$1, 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 MATCH(orders!$D897, products!$A$1:$A$49, 0), MATCH(orders!I$1, products!$A$1:$G$1, 0))</f>
        <v>Exc</v>
      </c>
      <c r="J897" t="str">
        <f>INDEX(products!$A$1:$G$49, MATCH(orders!$D897, products!$A$1:$A$49, 0), MATCH(orders!J$1, products!$A$1:$G$1, 0))</f>
        <v>M</v>
      </c>
      <c r="K897" s="4">
        <f>INDEX(products!$A$1:$G$49, MATCH(orders!$D897, products!$A$1:$A$49, 0), MATCH(orders!K$1, products!$A$1:$G$1, 0))</f>
        <v>2.5</v>
      </c>
      <c r="L897" s="5">
        <f>INDEX(products!$A$1:$G$49, MATCH(orders!$D897, products!$A$1:$A$49, 0), MATCH(orders!L$1, products!$A$1:$G$1, 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 MATCH(orders!$D898, products!$A$1:$A$49, 0), MATCH(orders!I$1, products!$A$1:$G$1, 0))</f>
        <v>Rob</v>
      </c>
      <c r="J898" t="str">
        <f>INDEX(products!$A$1:$G$49, MATCH(orders!$D898, products!$A$1:$A$49, 0), MATCH(orders!J$1, products!$A$1:$G$1, 0))</f>
        <v>D</v>
      </c>
      <c r="K898" s="4">
        <f>INDEX(products!$A$1:$G$49, MATCH(orders!$D898, products!$A$1:$A$49, 0), MATCH(orders!K$1, products!$A$1:$G$1, 0))</f>
        <v>0.5</v>
      </c>
      <c r="L898" s="5">
        <f>INDEX(products!$A$1:$G$49, MATCH(orders!$D898, products!$A$1:$A$49, 0), MATCH(orders!L$1, products!$A$1:$G$1, 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 MATCH(orders!$D899, products!$A$1:$A$49, 0), MATCH(orders!I$1, products!$A$1:$G$1, 0))</f>
        <v>Exc</v>
      </c>
      <c r="J899" t="str">
        <f>INDEX(products!$A$1:$G$49, MATCH(orders!$D899, products!$A$1:$A$49, 0), MATCH(orders!J$1, products!$A$1:$G$1, 0))</f>
        <v>D</v>
      </c>
      <c r="K899" s="4">
        <f>INDEX(products!$A$1:$G$49, MATCH(orders!$D899, products!$A$1:$A$49, 0), MATCH(orders!K$1, products!$A$1:$G$1, 0))</f>
        <v>1</v>
      </c>
      <c r="L899" s="5">
        <f>INDEX(products!$A$1:$G$49, MATCH(orders!$D899, products!$A$1:$A$49, 0), MATCH(orders!L$1, products!$A$1:$G$1, 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 MATCH(orders!$D900, products!$A$1:$A$49, 0), MATCH(orders!I$1, products!$A$1:$G$1, 0))</f>
        <v>Rob</v>
      </c>
      <c r="J900" t="str">
        <f>INDEX(products!$A$1:$G$49, MATCH(orders!$D900, products!$A$1:$A$49, 0), MATCH(orders!J$1, products!$A$1:$G$1, 0))</f>
        <v>L</v>
      </c>
      <c r="K900" s="4">
        <f>INDEX(products!$A$1:$G$49, MATCH(orders!$D900, products!$A$1:$A$49, 0), MATCH(orders!K$1, products!$A$1:$G$1, 0))</f>
        <v>0.5</v>
      </c>
      <c r="L900" s="5">
        <f>INDEX(products!$A$1:$G$49, MATCH(orders!$D900, products!$A$1:$A$49, 0), MATCH(orders!L$1, products!$A$1:$G$1, 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 MATCH(orders!$D901, products!$A$1:$A$49, 0), MATCH(orders!I$1, products!$A$1:$G$1, 0))</f>
        <v>Lib</v>
      </c>
      <c r="J901" t="str">
        <f>INDEX(products!$A$1:$G$49, MATCH(orders!$D901, products!$A$1:$A$49, 0), MATCH(orders!J$1, products!$A$1:$G$1, 0))</f>
        <v>M</v>
      </c>
      <c r="K901" s="4">
        <f>INDEX(products!$A$1:$G$49, MATCH(orders!$D901, products!$A$1:$A$49, 0), MATCH(orders!K$1, products!$A$1:$G$1, 0))</f>
        <v>1</v>
      </c>
      <c r="L901" s="5">
        <f>INDEX(products!$A$1:$G$49, MATCH(orders!$D901, products!$A$1:$A$49, 0), MATCH(orders!L$1, products!$A$1:$G$1, 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 MATCH(orders!$D902, products!$A$1:$A$49, 0), MATCH(orders!I$1, products!$A$1:$G$1, 0))</f>
        <v>Lib</v>
      </c>
      <c r="J902" t="str">
        <f>INDEX(products!$A$1:$G$49, MATCH(orders!$D902, products!$A$1:$A$49, 0), MATCH(orders!J$1, products!$A$1:$G$1, 0))</f>
        <v>L</v>
      </c>
      <c r="K902" s="4">
        <f>INDEX(products!$A$1:$G$49, MATCH(orders!$D902, products!$A$1:$A$49, 0), MATCH(orders!K$1, products!$A$1:$G$1, 0))</f>
        <v>1</v>
      </c>
      <c r="L902" s="5">
        <f>INDEX(products!$A$1:$G$49, MATCH(orders!$D902, products!$A$1:$A$49, 0), MATCH(orders!L$1, products!$A$1:$G$1, 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 MATCH(orders!$D903, products!$A$1:$A$49, 0), MATCH(orders!I$1, products!$A$1:$G$1, 0))</f>
        <v>Rob</v>
      </c>
      <c r="J903" t="str">
        <f>INDEX(products!$A$1:$G$49, MATCH(orders!$D903, products!$A$1:$A$49, 0), MATCH(orders!J$1, products!$A$1:$G$1, 0))</f>
        <v>L</v>
      </c>
      <c r="K903" s="4">
        <f>INDEX(products!$A$1:$G$49, MATCH(orders!$D903, products!$A$1:$A$49, 0), MATCH(orders!K$1, products!$A$1:$G$1, 0))</f>
        <v>0.2</v>
      </c>
      <c r="L903" s="5">
        <f>INDEX(products!$A$1:$G$49, MATCH(orders!$D903, products!$A$1:$A$49, 0), MATCH(orders!L$1, products!$A$1:$G$1, 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 MATCH(orders!$D904, products!$A$1:$A$49, 0), MATCH(orders!I$1, products!$A$1:$G$1, 0))</f>
        <v>Exc</v>
      </c>
      <c r="J904" t="str">
        <f>INDEX(products!$A$1:$G$49, MATCH(orders!$D904, products!$A$1:$A$49, 0), MATCH(orders!J$1, products!$A$1:$G$1, 0))</f>
        <v>M</v>
      </c>
      <c r="K904" s="4">
        <f>INDEX(products!$A$1:$G$49, MATCH(orders!$D904, products!$A$1:$A$49, 0), MATCH(orders!K$1, products!$A$1:$G$1, 0))</f>
        <v>2.5</v>
      </c>
      <c r="L904" s="5">
        <f>INDEX(products!$A$1:$G$49, MATCH(orders!$D904, products!$A$1:$A$49, 0), MATCH(orders!L$1, products!$A$1:$G$1, 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 MATCH(orders!$D905, products!$A$1:$A$49, 0), MATCH(orders!I$1, products!$A$1:$G$1, 0))</f>
        <v>Lib</v>
      </c>
      <c r="J905" t="str">
        <f>INDEX(products!$A$1:$G$49, MATCH(orders!$D905, products!$A$1:$A$49, 0), MATCH(orders!J$1, products!$A$1:$G$1, 0))</f>
        <v>M</v>
      </c>
      <c r="K905" s="4">
        <f>INDEX(products!$A$1:$G$49, MATCH(orders!$D905, products!$A$1:$A$49, 0), MATCH(orders!K$1, products!$A$1:$G$1, 0))</f>
        <v>0.5</v>
      </c>
      <c r="L905" s="5">
        <f>INDEX(products!$A$1:$G$49, MATCH(orders!$D905, products!$A$1:$A$49, 0), MATCH(orders!L$1, products!$A$1:$G$1, 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 MATCH(orders!$D906, products!$A$1:$A$49, 0), MATCH(orders!I$1, products!$A$1:$G$1, 0))</f>
        <v>Ara</v>
      </c>
      <c r="J906" t="str">
        <f>INDEX(products!$A$1:$G$49, MATCH(orders!$D906, products!$A$1:$A$49, 0), MATCH(orders!J$1, products!$A$1:$G$1, 0))</f>
        <v>L</v>
      </c>
      <c r="K906" s="4">
        <f>INDEX(products!$A$1:$G$49, MATCH(orders!$D906, products!$A$1:$A$49, 0), MATCH(orders!K$1, products!$A$1:$G$1, 0))</f>
        <v>2.5</v>
      </c>
      <c r="L906" s="5">
        <f>INDEX(products!$A$1:$G$49, MATCH(orders!$D906, products!$A$1:$A$49, 0), MATCH(orders!L$1, products!$A$1:$G$1, 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 MATCH(orders!$D907, products!$A$1:$A$49, 0), MATCH(orders!I$1, products!$A$1:$G$1, 0))</f>
        <v>Ara</v>
      </c>
      <c r="J907" t="str">
        <f>INDEX(products!$A$1:$G$49, MATCH(orders!$D907, products!$A$1:$A$49, 0), MATCH(orders!J$1, products!$A$1:$G$1, 0))</f>
        <v>M</v>
      </c>
      <c r="K907" s="4">
        <f>INDEX(products!$A$1:$G$49, MATCH(orders!$D907, products!$A$1:$A$49, 0), MATCH(orders!K$1, products!$A$1:$G$1, 0))</f>
        <v>0.5</v>
      </c>
      <c r="L907" s="5">
        <f>INDEX(products!$A$1:$G$49, MATCH(orders!$D907, products!$A$1:$A$49, 0), MATCH(orders!L$1, products!$A$1:$G$1, 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 MATCH(orders!$D908, products!$A$1:$A$49, 0), MATCH(orders!I$1, products!$A$1:$G$1, 0))</f>
        <v>Ara</v>
      </c>
      <c r="J908" t="str">
        <f>INDEX(products!$A$1:$G$49, MATCH(orders!$D908, products!$A$1:$A$49, 0), MATCH(orders!J$1, products!$A$1:$G$1, 0))</f>
        <v>M</v>
      </c>
      <c r="K908" s="4">
        <f>INDEX(products!$A$1:$G$49, MATCH(orders!$D908, products!$A$1:$A$49, 0), MATCH(orders!K$1, products!$A$1:$G$1, 0))</f>
        <v>0.5</v>
      </c>
      <c r="L908" s="5">
        <f>INDEX(products!$A$1:$G$49, MATCH(orders!$D908, products!$A$1:$A$49, 0), MATCH(orders!L$1, products!$A$1:$G$1, 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 MATCH(orders!$D909, products!$A$1:$A$49, 0), MATCH(orders!I$1, products!$A$1:$G$1, 0))</f>
        <v>Lib</v>
      </c>
      <c r="J909" t="str">
        <f>INDEX(products!$A$1:$G$49, MATCH(orders!$D909, products!$A$1:$A$49, 0), MATCH(orders!J$1, products!$A$1:$G$1, 0))</f>
        <v>D</v>
      </c>
      <c r="K909" s="4">
        <f>INDEX(products!$A$1:$G$49, MATCH(orders!$D909, products!$A$1:$A$49, 0), MATCH(orders!K$1, products!$A$1:$G$1, 0))</f>
        <v>1</v>
      </c>
      <c r="L909" s="5">
        <f>INDEX(products!$A$1:$G$49, MATCH(orders!$D909, products!$A$1:$A$49, 0), MATCH(orders!L$1, products!$A$1:$G$1, 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 MATCH(orders!$D910, products!$A$1:$A$49, 0), MATCH(orders!I$1, products!$A$1:$G$1, 0))</f>
        <v>Rob</v>
      </c>
      <c r="J910" t="str">
        <f>INDEX(products!$A$1:$G$49, MATCH(orders!$D910, products!$A$1:$A$49, 0), MATCH(orders!J$1, products!$A$1:$G$1, 0))</f>
        <v>L</v>
      </c>
      <c r="K910" s="4">
        <f>INDEX(products!$A$1:$G$49, MATCH(orders!$D910, products!$A$1:$A$49, 0), MATCH(orders!K$1, products!$A$1:$G$1, 0))</f>
        <v>1</v>
      </c>
      <c r="L910" s="5">
        <f>INDEX(products!$A$1:$G$49, MATCH(orders!$D910, products!$A$1:$A$49, 0), MATCH(orders!L$1, products!$A$1:$G$1, 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 MATCH(orders!$D911, products!$A$1:$A$49, 0), MATCH(orders!I$1, products!$A$1:$G$1, 0))</f>
        <v>Rob</v>
      </c>
      <c r="J911" t="str">
        <f>INDEX(products!$A$1:$G$49, MATCH(orders!$D911, products!$A$1:$A$49, 0), MATCH(orders!J$1, products!$A$1:$G$1, 0))</f>
        <v>L</v>
      </c>
      <c r="K911" s="4">
        <f>INDEX(products!$A$1:$G$49, MATCH(orders!$D911, products!$A$1:$A$49, 0), MATCH(orders!K$1, products!$A$1:$G$1, 0))</f>
        <v>0.2</v>
      </c>
      <c r="L911" s="5">
        <f>INDEX(products!$A$1:$G$49, MATCH(orders!$D911, products!$A$1:$A$49, 0), MATCH(orders!L$1, products!$A$1:$G$1, 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 MATCH(orders!$D912, products!$A$1:$A$49, 0), MATCH(orders!I$1, products!$A$1:$G$1, 0))</f>
        <v>Ara</v>
      </c>
      <c r="J912" t="str">
        <f>INDEX(products!$A$1:$G$49, MATCH(orders!$D912, products!$A$1:$A$49, 0), MATCH(orders!J$1, products!$A$1:$G$1, 0))</f>
        <v>D</v>
      </c>
      <c r="K912" s="4">
        <f>INDEX(products!$A$1:$G$49, MATCH(orders!$D912, products!$A$1:$A$49, 0), MATCH(orders!K$1, products!$A$1:$G$1, 0))</f>
        <v>2.5</v>
      </c>
      <c r="L912" s="5">
        <f>INDEX(products!$A$1:$G$49, MATCH(orders!$D912, products!$A$1:$A$49, 0), MATCH(orders!L$1, products!$A$1:$G$1, 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 MATCH(orders!$D913, products!$A$1:$A$49, 0), MATCH(orders!I$1, products!$A$1:$G$1, 0))</f>
        <v>Ara</v>
      </c>
      <c r="J913" t="str">
        <f>INDEX(products!$A$1:$G$49, MATCH(orders!$D913, products!$A$1:$A$49, 0), MATCH(orders!J$1, products!$A$1:$G$1, 0))</f>
        <v>M</v>
      </c>
      <c r="K913" s="4">
        <f>INDEX(products!$A$1:$G$49, MATCH(orders!$D913, products!$A$1:$A$49, 0), MATCH(orders!K$1, products!$A$1:$G$1, 0))</f>
        <v>1</v>
      </c>
      <c r="L913" s="5">
        <f>INDEX(products!$A$1:$G$49, MATCH(orders!$D913, products!$A$1:$A$49, 0), MATCH(orders!L$1, products!$A$1:$G$1, 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 MATCH(orders!$D914, products!$A$1:$A$49, 0), MATCH(orders!I$1, products!$A$1:$G$1, 0))</f>
        <v>Rob</v>
      </c>
      <c r="J914" t="str">
        <f>INDEX(products!$A$1:$G$49, MATCH(orders!$D914, products!$A$1:$A$49, 0), MATCH(orders!J$1, products!$A$1:$G$1, 0))</f>
        <v>M</v>
      </c>
      <c r="K914" s="4">
        <f>INDEX(products!$A$1:$G$49, MATCH(orders!$D914, products!$A$1:$A$49, 0), MATCH(orders!K$1, products!$A$1:$G$1, 0))</f>
        <v>2.5</v>
      </c>
      <c r="L914" s="5">
        <f>INDEX(products!$A$1:$G$49, MATCH(orders!$D914, products!$A$1:$A$49, 0), MATCH(orders!L$1, products!$A$1:$G$1, 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 MATCH(orders!$D915, products!$A$1:$A$49, 0), MATCH(orders!I$1, products!$A$1:$G$1, 0))</f>
        <v>Ara</v>
      </c>
      <c r="J915" t="str">
        <f>INDEX(products!$A$1:$G$49, MATCH(orders!$D915, products!$A$1:$A$49, 0), MATCH(orders!J$1, products!$A$1:$G$1, 0))</f>
        <v>M</v>
      </c>
      <c r="K915" s="4">
        <f>INDEX(products!$A$1:$G$49, MATCH(orders!$D915, products!$A$1:$A$49, 0), MATCH(orders!K$1, products!$A$1:$G$1, 0))</f>
        <v>0.5</v>
      </c>
      <c r="L915" s="5">
        <f>INDEX(products!$A$1:$G$49, MATCH(orders!$D915, products!$A$1:$A$49, 0), MATCH(orders!L$1, products!$A$1:$G$1, 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 MATCH(orders!$D916, products!$A$1:$A$49, 0), MATCH(orders!I$1, products!$A$1:$G$1, 0))</f>
        <v>Ara</v>
      </c>
      <c r="J916" t="str">
        <f>INDEX(products!$A$1:$G$49, MATCH(orders!$D916, products!$A$1:$A$49, 0), MATCH(orders!J$1, products!$A$1:$G$1, 0))</f>
        <v>M</v>
      </c>
      <c r="K916" s="4">
        <f>INDEX(products!$A$1:$G$49, MATCH(orders!$D916, products!$A$1:$A$49, 0), MATCH(orders!K$1, products!$A$1:$G$1, 0))</f>
        <v>1</v>
      </c>
      <c r="L916" s="5">
        <f>INDEX(products!$A$1:$G$49, MATCH(orders!$D916, products!$A$1:$A$49, 0), MATCH(orders!L$1, products!$A$1:$G$1, 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 MATCH(orders!$D917, products!$A$1:$A$49, 0), MATCH(orders!I$1, products!$A$1:$G$1, 0))</f>
        <v>Exc</v>
      </c>
      <c r="J917" t="str">
        <f>INDEX(products!$A$1:$G$49, MATCH(orders!$D917, products!$A$1:$A$49, 0), MATCH(orders!J$1, products!$A$1:$G$1, 0))</f>
        <v>D</v>
      </c>
      <c r="K917" s="4">
        <f>INDEX(products!$A$1:$G$49, MATCH(orders!$D917, products!$A$1:$A$49, 0), MATCH(orders!K$1, products!$A$1:$G$1, 0))</f>
        <v>2.5</v>
      </c>
      <c r="L917" s="5">
        <f>INDEX(products!$A$1:$G$49, MATCH(orders!$D917, products!$A$1:$A$49, 0), MATCH(orders!L$1, products!$A$1:$G$1, 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 MATCH(orders!$D918, products!$A$1:$A$49, 0), MATCH(orders!I$1, products!$A$1:$G$1, 0))</f>
        <v>Exc</v>
      </c>
      <c r="J918" t="str">
        <f>INDEX(products!$A$1:$G$49, MATCH(orders!$D918, products!$A$1:$A$49, 0), MATCH(orders!J$1, products!$A$1:$G$1, 0))</f>
        <v>D</v>
      </c>
      <c r="K918" s="4">
        <f>INDEX(products!$A$1:$G$49, MATCH(orders!$D918, products!$A$1:$A$49, 0), MATCH(orders!K$1, products!$A$1:$G$1, 0))</f>
        <v>0.2</v>
      </c>
      <c r="L918" s="5">
        <f>INDEX(products!$A$1:$G$49, MATCH(orders!$D918, products!$A$1:$A$49, 0), MATCH(orders!L$1, products!$A$1:$G$1, 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 MATCH(orders!$D919, products!$A$1:$A$49, 0), MATCH(orders!I$1, products!$A$1:$G$1, 0))</f>
        <v>Ara</v>
      </c>
      <c r="J919" t="str">
        <f>INDEX(products!$A$1:$G$49, MATCH(orders!$D919, products!$A$1:$A$49, 0), MATCH(orders!J$1, products!$A$1:$G$1, 0))</f>
        <v>M</v>
      </c>
      <c r="K919" s="4">
        <f>INDEX(products!$A$1:$G$49, MATCH(orders!$D919, products!$A$1:$A$49, 0), MATCH(orders!K$1, products!$A$1:$G$1, 0))</f>
        <v>0.5</v>
      </c>
      <c r="L919" s="5">
        <f>INDEX(products!$A$1:$G$49, MATCH(orders!$D919, products!$A$1:$A$49, 0), MATCH(orders!L$1, products!$A$1:$G$1, 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 MATCH(orders!$D920, products!$A$1:$A$49, 0), MATCH(orders!I$1, products!$A$1:$G$1, 0))</f>
        <v>Exc</v>
      </c>
      <c r="J920" t="str">
        <f>INDEX(products!$A$1:$G$49, MATCH(orders!$D920, products!$A$1:$A$49, 0), MATCH(orders!J$1, products!$A$1:$G$1, 0))</f>
        <v>D</v>
      </c>
      <c r="K920" s="4">
        <f>INDEX(products!$A$1:$G$49, MATCH(orders!$D920, products!$A$1:$A$49, 0), MATCH(orders!K$1, products!$A$1:$G$1, 0))</f>
        <v>0.5</v>
      </c>
      <c r="L920" s="5">
        <f>INDEX(products!$A$1:$G$49, MATCH(orders!$D920, products!$A$1:$A$49, 0), MATCH(orders!L$1, products!$A$1:$G$1, 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 MATCH(orders!$D921, products!$A$1:$A$49, 0), MATCH(orders!I$1, products!$A$1:$G$1, 0))</f>
        <v>Rob</v>
      </c>
      <c r="J921" t="str">
        <f>INDEX(products!$A$1:$G$49, MATCH(orders!$D921, products!$A$1:$A$49, 0), MATCH(orders!J$1, products!$A$1:$G$1, 0))</f>
        <v>D</v>
      </c>
      <c r="K921" s="4">
        <f>INDEX(products!$A$1:$G$49, MATCH(orders!$D921, products!$A$1:$A$49, 0), MATCH(orders!K$1, products!$A$1:$G$1, 0))</f>
        <v>0.2</v>
      </c>
      <c r="L921" s="5">
        <f>INDEX(products!$A$1:$G$49, MATCH(orders!$D921, products!$A$1:$A$49, 0), MATCH(orders!L$1, products!$A$1:$G$1, 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 MATCH(orders!$D922, products!$A$1:$A$49, 0), MATCH(orders!I$1, products!$A$1:$G$1, 0))</f>
        <v>Rob</v>
      </c>
      <c r="J922" t="str">
        <f>INDEX(products!$A$1:$G$49, MATCH(orders!$D922, products!$A$1:$A$49, 0), MATCH(orders!J$1, products!$A$1:$G$1, 0))</f>
        <v>D</v>
      </c>
      <c r="K922" s="4">
        <f>INDEX(products!$A$1:$G$49, MATCH(orders!$D922, products!$A$1:$A$49, 0), MATCH(orders!K$1, products!$A$1:$G$1, 0))</f>
        <v>2.5</v>
      </c>
      <c r="L922" s="5">
        <f>INDEX(products!$A$1:$G$49, MATCH(orders!$D922, products!$A$1:$A$49, 0), MATCH(orders!L$1, products!$A$1:$G$1, 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 MATCH(orders!$D923, products!$A$1:$A$49, 0), MATCH(orders!I$1, products!$A$1:$G$1, 0))</f>
        <v>Lib</v>
      </c>
      <c r="J923" t="str">
        <f>INDEX(products!$A$1:$G$49, MATCH(orders!$D923, products!$A$1:$A$49, 0), MATCH(orders!J$1, products!$A$1:$G$1, 0))</f>
        <v>D</v>
      </c>
      <c r="K923" s="4">
        <f>INDEX(products!$A$1:$G$49, MATCH(orders!$D923, products!$A$1:$A$49, 0), MATCH(orders!K$1, products!$A$1:$G$1, 0))</f>
        <v>0.2</v>
      </c>
      <c r="L923" s="5">
        <f>INDEX(products!$A$1:$G$49, MATCH(orders!$D923, products!$A$1:$A$49, 0), MATCH(orders!L$1, products!$A$1:$G$1, 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 MATCH(orders!$D924, products!$A$1:$A$49, 0), MATCH(orders!I$1, products!$A$1:$G$1, 0))</f>
        <v>Ara</v>
      </c>
      <c r="J924" t="str">
        <f>INDEX(products!$A$1:$G$49, MATCH(orders!$D924, products!$A$1:$A$49, 0), MATCH(orders!J$1, products!$A$1:$G$1, 0))</f>
        <v>M</v>
      </c>
      <c r="K924" s="4">
        <f>INDEX(products!$A$1:$G$49, MATCH(orders!$D924, products!$A$1:$A$49, 0), MATCH(orders!K$1, products!$A$1:$G$1, 0))</f>
        <v>1</v>
      </c>
      <c r="L924" s="5">
        <f>INDEX(products!$A$1:$G$49, MATCH(orders!$D924, products!$A$1:$A$49, 0), MATCH(orders!L$1, products!$A$1:$G$1, 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 MATCH(orders!$D925, products!$A$1:$A$49, 0), MATCH(orders!I$1, products!$A$1:$G$1, 0))</f>
        <v>Exc</v>
      </c>
      <c r="J925" t="str">
        <f>INDEX(products!$A$1:$G$49, MATCH(orders!$D925, products!$A$1:$A$49, 0), MATCH(orders!J$1, products!$A$1:$G$1, 0))</f>
        <v>D</v>
      </c>
      <c r="K925" s="4">
        <f>INDEX(products!$A$1:$G$49, MATCH(orders!$D925, products!$A$1:$A$49, 0), MATCH(orders!K$1, products!$A$1:$G$1, 0))</f>
        <v>2.5</v>
      </c>
      <c r="L925" s="5">
        <f>INDEX(products!$A$1:$G$49, MATCH(orders!$D925, products!$A$1:$A$49, 0), MATCH(orders!L$1, products!$A$1:$G$1, 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 MATCH(orders!$D926, products!$A$1:$A$49, 0), MATCH(orders!I$1, products!$A$1:$G$1, 0))</f>
        <v>Ara</v>
      </c>
      <c r="J926" t="str">
        <f>INDEX(products!$A$1:$G$49, MATCH(orders!$D926, products!$A$1:$A$49, 0), MATCH(orders!J$1, products!$A$1:$G$1, 0))</f>
        <v>L</v>
      </c>
      <c r="K926" s="4">
        <f>INDEX(products!$A$1:$G$49, MATCH(orders!$D926, products!$A$1:$A$49, 0), MATCH(orders!K$1, products!$A$1:$G$1, 0))</f>
        <v>2.5</v>
      </c>
      <c r="L926" s="5">
        <f>INDEX(products!$A$1:$G$49, MATCH(orders!$D926, products!$A$1:$A$49, 0), MATCH(orders!L$1, products!$A$1:$G$1, 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 MATCH(orders!$D927, products!$A$1:$A$49, 0), MATCH(orders!I$1, products!$A$1:$G$1, 0))</f>
        <v>Ara</v>
      </c>
      <c r="J927" t="str">
        <f>INDEX(products!$A$1:$G$49, MATCH(orders!$D927, products!$A$1:$A$49, 0), MATCH(orders!J$1, products!$A$1:$G$1, 0))</f>
        <v>M</v>
      </c>
      <c r="K927" s="4">
        <f>INDEX(products!$A$1:$G$49, MATCH(orders!$D927, products!$A$1:$A$49, 0), MATCH(orders!K$1, products!$A$1:$G$1, 0))</f>
        <v>0.5</v>
      </c>
      <c r="L927" s="5">
        <f>INDEX(products!$A$1:$G$49, MATCH(orders!$D927, products!$A$1:$A$49, 0), MATCH(orders!L$1, products!$A$1:$G$1, 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 MATCH(orders!$D928, products!$A$1:$A$49, 0), MATCH(orders!I$1, products!$A$1:$G$1, 0))</f>
        <v>Ara</v>
      </c>
      <c r="J928" t="str">
        <f>INDEX(products!$A$1:$G$49, MATCH(orders!$D928, products!$A$1:$A$49, 0), MATCH(orders!J$1, products!$A$1:$G$1, 0))</f>
        <v>M</v>
      </c>
      <c r="K928" s="4">
        <f>INDEX(products!$A$1:$G$49, MATCH(orders!$D928, products!$A$1:$A$49, 0), MATCH(orders!K$1, products!$A$1:$G$1, 0))</f>
        <v>0.5</v>
      </c>
      <c r="L928" s="5">
        <f>INDEX(products!$A$1:$G$49, MATCH(orders!$D928, products!$A$1:$A$49, 0), MATCH(orders!L$1, products!$A$1:$G$1, 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 MATCH(orders!$D929, products!$A$1:$A$49, 0), MATCH(orders!I$1, products!$A$1:$G$1, 0))</f>
        <v>Exc</v>
      </c>
      <c r="J929" t="str">
        <f>INDEX(products!$A$1:$G$49, MATCH(orders!$D929, products!$A$1:$A$49, 0), MATCH(orders!J$1, products!$A$1:$G$1, 0))</f>
        <v>D</v>
      </c>
      <c r="K929" s="4">
        <f>INDEX(products!$A$1:$G$49, MATCH(orders!$D929, products!$A$1:$A$49, 0), MATCH(orders!K$1, products!$A$1:$G$1, 0))</f>
        <v>2.5</v>
      </c>
      <c r="L929" s="5">
        <f>INDEX(products!$A$1:$G$49, MATCH(orders!$D929, products!$A$1:$A$49, 0), MATCH(orders!L$1, products!$A$1:$G$1, 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 MATCH(orders!$D930, products!$A$1:$A$49, 0), MATCH(orders!I$1, products!$A$1:$G$1, 0))</f>
        <v>Exc</v>
      </c>
      <c r="J930" t="str">
        <f>INDEX(products!$A$1:$G$49, MATCH(orders!$D930, products!$A$1:$A$49, 0), MATCH(orders!J$1, products!$A$1:$G$1, 0))</f>
        <v>M</v>
      </c>
      <c r="K930" s="4">
        <f>INDEX(products!$A$1:$G$49, MATCH(orders!$D930, products!$A$1:$A$49, 0), MATCH(orders!K$1, products!$A$1:$G$1, 0))</f>
        <v>2.5</v>
      </c>
      <c r="L930" s="5">
        <f>INDEX(products!$A$1:$G$49, MATCH(orders!$D930, products!$A$1:$A$49, 0), MATCH(orders!L$1, products!$A$1:$G$1, 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 MATCH(orders!$D931, products!$A$1:$A$49, 0), MATCH(orders!I$1, products!$A$1:$G$1, 0))</f>
        <v>Exc</v>
      </c>
      <c r="J931" t="str">
        <f>INDEX(products!$A$1:$G$49, MATCH(orders!$D931, products!$A$1:$A$49, 0), MATCH(orders!J$1, products!$A$1:$G$1, 0))</f>
        <v>L</v>
      </c>
      <c r="K931" s="4">
        <f>INDEX(products!$A$1:$G$49, MATCH(orders!$D931, products!$A$1:$A$49, 0), MATCH(orders!K$1, products!$A$1:$G$1, 0))</f>
        <v>0.2</v>
      </c>
      <c r="L931" s="5">
        <f>INDEX(products!$A$1:$G$49, MATCH(orders!$D931, products!$A$1:$A$49, 0), MATCH(orders!L$1, products!$A$1:$G$1, 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 MATCH(orders!$D932, products!$A$1:$A$49, 0), MATCH(orders!I$1, products!$A$1:$G$1, 0))</f>
        <v>Exc</v>
      </c>
      <c r="J932" t="str">
        <f>INDEX(products!$A$1:$G$49, MATCH(orders!$D932, products!$A$1:$A$49, 0), MATCH(orders!J$1, products!$A$1:$G$1, 0))</f>
        <v>D</v>
      </c>
      <c r="K932" s="4">
        <f>INDEX(products!$A$1:$G$49, MATCH(orders!$D932, products!$A$1:$A$49, 0), MATCH(orders!K$1, products!$A$1:$G$1, 0))</f>
        <v>1</v>
      </c>
      <c r="L932" s="5">
        <f>INDEX(products!$A$1:$G$49, MATCH(orders!$D932, products!$A$1:$A$49, 0), MATCH(orders!L$1, products!$A$1:$G$1, 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 MATCH(orders!$D933, products!$A$1:$A$49, 0), MATCH(orders!I$1, products!$A$1:$G$1, 0))</f>
        <v>Ara</v>
      </c>
      <c r="J933" t="str">
        <f>INDEX(products!$A$1:$G$49, MATCH(orders!$D933, products!$A$1:$A$49, 0), MATCH(orders!J$1, products!$A$1:$G$1, 0))</f>
        <v>D</v>
      </c>
      <c r="K933" s="4">
        <f>INDEX(products!$A$1:$G$49, MATCH(orders!$D933, products!$A$1:$A$49, 0), MATCH(orders!K$1, products!$A$1:$G$1, 0))</f>
        <v>0.5</v>
      </c>
      <c r="L933" s="5">
        <f>INDEX(products!$A$1:$G$49, MATCH(orders!$D933, products!$A$1:$A$49, 0), MATCH(orders!L$1, products!$A$1:$G$1, 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 MATCH(orders!$D934, products!$A$1:$A$49, 0), MATCH(orders!I$1, products!$A$1:$G$1, 0))</f>
        <v>Exc</v>
      </c>
      <c r="J934" t="str">
        <f>INDEX(products!$A$1:$G$49, MATCH(orders!$D934, products!$A$1:$A$49, 0), MATCH(orders!J$1, products!$A$1:$G$1, 0))</f>
        <v>M</v>
      </c>
      <c r="K934" s="4">
        <f>INDEX(products!$A$1:$G$49, MATCH(orders!$D934, products!$A$1:$A$49, 0), MATCH(orders!K$1, products!$A$1:$G$1, 0))</f>
        <v>1</v>
      </c>
      <c r="L934" s="5">
        <f>INDEX(products!$A$1:$G$49, MATCH(orders!$D934, products!$A$1:$A$49, 0), MATCH(orders!L$1, products!$A$1:$G$1, 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 MATCH(orders!$D935, products!$A$1:$A$49, 0), MATCH(orders!I$1, products!$A$1:$G$1, 0))</f>
        <v>Rob</v>
      </c>
      <c r="J935" t="str">
        <f>INDEX(products!$A$1:$G$49, MATCH(orders!$D935, products!$A$1:$A$49, 0), MATCH(orders!J$1, products!$A$1:$G$1, 0))</f>
        <v>D</v>
      </c>
      <c r="K935" s="4">
        <f>INDEX(products!$A$1:$G$49, MATCH(orders!$D935, products!$A$1:$A$49, 0), MATCH(orders!K$1, products!$A$1:$G$1, 0))</f>
        <v>1</v>
      </c>
      <c r="L935" s="5">
        <f>INDEX(products!$A$1:$G$49, MATCH(orders!$D935, products!$A$1:$A$49, 0), MATCH(orders!L$1, products!$A$1:$G$1, 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 MATCH(orders!$D936, products!$A$1:$A$49, 0), MATCH(orders!I$1, products!$A$1:$G$1, 0))</f>
        <v>Rob</v>
      </c>
      <c r="J936" t="str">
        <f>INDEX(products!$A$1:$G$49, MATCH(orders!$D936, products!$A$1:$A$49, 0), MATCH(orders!J$1, products!$A$1:$G$1, 0))</f>
        <v>M</v>
      </c>
      <c r="K936" s="4">
        <f>INDEX(products!$A$1:$G$49, MATCH(orders!$D936, products!$A$1:$A$49, 0), MATCH(orders!K$1, products!$A$1:$G$1, 0))</f>
        <v>2.5</v>
      </c>
      <c r="L936" s="5">
        <f>INDEX(products!$A$1:$G$49, MATCH(orders!$D936, products!$A$1:$A$49, 0), MATCH(orders!L$1, products!$A$1:$G$1, 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 MATCH(orders!$D937, products!$A$1:$A$49, 0), MATCH(orders!I$1, products!$A$1:$G$1, 0))</f>
        <v>Ara</v>
      </c>
      <c r="J937" t="str">
        <f>INDEX(products!$A$1:$G$49, MATCH(orders!$D937, products!$A$1:$A$49, 0), MATCH(orders!J$1, products!$A$1:$G$1, 0))</f>
        <v>M</v>
      </c>
      <c r="K937" s="4">
        <f>INDEX(products!$A$1:$G$49, MATCH(orders!$D937, products!$A$1:$A$49, 0), MATCH(orders!K$1, products!$A$1:$G$1, 0))</f>
        <v>2.5</v>
      </c>
      <c r="L937" s="5">
        <f>INDEX(products!$A$1:$G$49, MATCH(orders!$D937, products!$A$1:$A$49, 0), MATCH(orders!L$1, products!$A$1:$G$1, 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 MATCH(orders!$D938, products!$A$1:$A$49, 0), MATCH(orders!I$1, products!$A$1:$G$1, 0))</f>
        <v>Lib</v>
      </c>
      <c r="J938" t="str">
        <f>INDEX(products!$A$1:$G$49, MATCH(orders!$D938, products!$A$1:$A$49, 0), MATCH(orders!J$1, products!$A$1:$G$1, 0))</f>
        <v>D</v>
      </c>
      <c r="K938" s="4">
        <f>INDEX(products!$A$1:$G$49, MATCH(orders!$D938, products!$A$1:$A$49, 0), MATCH(orders!K$1, products!$A$1:$G$1, 0))</f>
        <v>0.5</v>
      </c>
      <c r="L938" s="5">
        <f>INDEX(products!$A$1:$G$49, MATCH(orders!$D938, products!$A$1:$A$49, 0), MATCH(orders!L$1, products!$A$1:$G$1, 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 MATCH(orders!$D939, products!$A$1:$A$49, 0), MATCH(orders!I$1, products!$A$1:$G$1, 0))</f>
        <v>Rob</v>
      </c>
      <c r="J939" t="str">
        <f>INDEX(products!$A$1:$G$49, MATCH(orders!$D939, products!$A$1:$A$49, 0), MATCH(orders!J$1, products!$A$1:$G$1, 0))</f>
        <v>M</v>
      </c>
      <c r="K939" s="4">
        <f>INDEX(products!$A$1:$G$49, MATCH(orders!$D939, products!$A$1:$A$49, 0), MATCH(orders!K$1, products!$A$1:$G$1, 0))</f>
        <v>2.5</v>
      </c>
      <c r="L939" s="5">
        <f>INDEX(products!$A$1:$G$49, MATCH(orders!$D939, products!$A$1:$A$49, 0), MATCH(orders!L$1, products!$A$1:$G$1, 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 MATCH(orders!$D940, products!$A$1:$A$49, 0), MATCH(orders!I$1, products!$A$1:$G$1, 0))</f>
        <v>Exc</v>
      </c>
      <c r="J940" t="str">
        <f>INDEX(products!$A$1:$G$49, MATCH(orders!$D940, products!$A$1:$A$49, 0), MATCH(orders!J$1, products!$A$1:$G$1, 0))</f>
        <v>L</v>
      </c>
      <c r="K940" s="4">
        <f>INDEX(products!$A$1:$G$49, MATCH(orders!$D940, products!$A$1:$A$49, 0), MATCH(orders!K$1, products!$A$1:$G$1, 0))</f>
        <v>1</v>
      </c>
      <c r="L940" s="5">
        <f>INDEX(products!$A$1:$G$49, MATCH(orders!$D940, products!$A$1:$A$49, 0), MATCH(orders!L$1, products!$A$1:$G$1, 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 MATCH(orders!$D941, products!$A$1:$A$49, 0), MATCH(orders!I$1, products!$A$1:$G$1, 0))</f>
        <v>Lib</v>
      </c>
      <c r="J941" t="str">
        <f>INDEX(products!$A$1:$G$49, MATCH(orders!$D941, products!$A$1:$A$49, 0), MATCH(orders!J$1, products!$A$1:$G$1, 0))</f>
        <v>L</v>
      </c>
      <c r="K941" s="4">
        <f>INDEX(products!$A$1:$G$49, MATCH(orders!$D941, products!$A$1:$A$49, 0), MATCH(orders!K$1, products!$A$1:$G$1, 0))</f>
        <v>0.2</v>
      </c>
      <c r="L941" s="5">
        <f>INDEX(products!$A$1:$G$49, MATCH(orders!$D941, products!$A$1:$A$49, 0), MATCH(orders!L$1, products!$A$1:$G$1, 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 MATCH(orders!$D942, products!$A$1:$A$49, 0), MATCH(orders!I$1, products!$A$1:$G$1, 0))</f>
        <v>Rob</v>
      </c>
      <c r="J942" t="str">
        <f>INDEX(products!$A$1:$G$49, MATCH(orders!$D942, products!$A$1:$A$49, 0), MATCH(orders!J$1, products!$A$1:$G$1, 0))</f>
        <v>L</v>
      </c>
      <c r="K942" s="4">
        <f>INDEX(products!$A$1:$G$49, MATCH(orders!$D942, products!$A$1:$A$49, 0), MATCH(orders!K$1, products!$A$1:$G$1, 0))</f>
        <v>0.5</v>
      </c>
      <c r="L942" s="5">
        <f>INDEX(products!$A$1:$G$49, MATCH(orders!$D942, products!$A$1:$A$49, 0), MATCH(orders!L$1, products!$A$1:$G$1, 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 MATCH(orders!$D943, products!$A$1:$A$49, 0), MATCH(orders!I$1, products!$A$1:$G$1, 0))</f>
        <v>Ara</v>
      </c>
      <c r="J943" t="str">
        <f>INDEX(products!$A$1:$G$49, MATCH(orders!$D943, products!$A$1:$A$49, 0), MATCH(orders!J$1, products!$A$1:$G$1, 0))</f>
        <v>L</v>
      </c>
      <c r="K943" s="4">
        <f>INDEX(products!$A$1:$G$49, MATCH(orders!$D943, products!$A$1:$A$49, 0), MATCH(orders!K$1, products!$A$1:$G$1, 0))</f>
        <v>0.5</v>
      </c>
      <c r="L943" s="5">
        <f>INDEX(products!$A$1:$G$49, MATCH(orders!$D943, products!$A$1:$A$49, 0), MATCH(orders!L$1, products!$A$1:$G$1, 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 MATCH(orders!$D944, products!$A$1:$A$49, 0), MATCH(orders!I$1, products!$A$1:$G$1, 0))</f>
        <v>Rob</v>
      </c>
      <c r="J944" t="str">
        <f>INDEX(products!$A$1:$G$49, MATCH(orders!$D944, products!$A$1:$A$49, 0), MATCH(orders!J$1, products!$A$1:$G$1, 0))</f>
        <v>L</v>
      </c>
      <c r="K944" s="4">
        <f>INDEX(products!$A$1:$G$49, MATCH(orders!$D944, products!$A$1:$A$49, 0), MATCH(orders!K$1, products!$A$1:$G$1, 0))</f>
        <v>1</v>
      </c>
      <c r="L944" s="5">
        <f>INDEX(products!$A$1:$G$49, MATCH(orders!$D944, products!$A$1:$A$49, 0), MATCH(orders!L$1, products!$A$1:$G$1, 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 MATCH(orders!$D945, products!$A$1:$A$49, 0), MATCH(orders!I$1, products!$A$1:$G$1, 0))</f>
        <v>Ara</v>
      </c>
      <c r="J945" t="str">
        <f>INDEX(products!$A$1:$G$49, MATCH(orders!$D945, products!$A$1:$A$49, 0), MATCH(orders!J$1, products!$A$1:$G$1, 0))</f>
        <v>L</v>
      </c>
      <c r="K945" s="4">
        <f>INDEX(products!$A$1:$G$49, MATCH(orders!$D945, products!$A$1:$A$49, 0), MATCH(orders!K$1, products!$A$1:$G$1, 0))</f>
        <v>0.5</v>
      </c>
      <c r="L945" s="5">
        <f>INDEX(products!$A$1:$G$49, MATCH(orders!$D945, products!$A$1:$A$49, 0), MATCH(orders!L$1, products!$A$1:$G$1, 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 MATCH(orders!$D946, products!$A$1:$A$49, 0), MATCH(orders!I$1, products!$A$1:$G$1, 0))</f>
        <v>Rob</v>
      </c>
      <c r="J946" t="str">
        <f>INDEX(products!$A$1:$G$49, MATCH(orders!$D946, products!$A$1:$A$49, 0), MATCH(orders!J$1, products!$A$1:$G$1, 0))</f>
        <v>L</v>
      </c>
      <c r="K946" s="4">
        <f>INDEX(products!$A$1:$G$49, MATCH(orders!$D946, products!$A$1:$A$49, 0), MATCH(orders!K$1, products!$A$1:$G$1, 0))</f>
        <v>0.5</v>
      </c>
      <c r="L946" s="5">
        <f>INDEX(products!$A$1:$G$49, MATCH(orders!$D946, products!$A$1:$A$49, 0), MATCH(orders!L$1, products!$A$1:$G$1, 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 MATCH(orders!$D947, products!$A$1:$A$49, 0), MATCH(orders!I$1, products!$A$1:$G$1, 0))</f>
        <v>Lib</v>
      </c>
      <c r="J947" t="str">
        <f>INDEX(products!$A$1:$G$49, MATCH(orders!$D947, products!$A$1:$A$49, 0), MATCH(orders!J$1, products!$A$1:$G$1, 0))</f>
        <v>D</v>
      </c>
      <c r="K947" s="4">
        <f>INDEX(products!$A$1:$G$49, MATCH(orders!$D947, products!$A$1:$A$49, 0), MATCH(orders!K$1, products!$A$1:$G$1, 0))</f>
        <v>2.5</v>
      </c>
      <c r="L947" s="5">
        <f>INDEX(products!$A$1:$G$49, MATCH(orders!$D947, products!$A$1:$A$49, 0), MATCH(orders!L$1, products!$A$1:$G$1, 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 MATCH(orders!$D948, products!$A$1:$A$49, 0), MATCH(orders!I$1, products!$A$1:$G$1, 0))</f>
        <v>Lib</v>
      </c>
      <c r="J948" t="str">
        <f>INDEX(products!$A$1:$G$49, MATCH(orders!$D948, products!$A$1:$A$49, 0), MATCH(orders!J$1, products!$A$1:$G$1, 0))</f>
        <v>D</v>
      </c>
      <c r="K948" s="4">
        <f>INDEX(products!$A$1:$G$49, MATCH(orders!$D948, products!$A$1:$A$49, 0), MATCH(orders!K$1, products!$A$1:$G$1, 0))</f>
        <v>0.5</v>
      </c>
      <c r="L948" s="5">
        <f>INDEX(products!$A$1:$G$49, MATCH(orders!$D948, products!$A$1:$A$49, 0), MATCH(orders!L$1, products!$A$1:$G$1, 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 MATCH(orders!$D949, products!$A$1:$A$49, 0), MATCH(orders!I$1, products!$A$1:$G$1, 0))</f>
        <v>Ara</v>
      </c>
      <c r="J949" t="str">
        <f>INDEX(products!$A$1:$G$49, MATCH(orders!$D949, products!$A$1:$A$49, 0), MATCH(orders!J$1, products!$A$1:$G$1, 0))</f>
        <v>M</v>
      </c>
      <c r="K949" s="4">
        <f>INDEX(products!$A$1:$G$49, MATCH(orders!$D949, products!$A$1:$A$49, 0), MATCH(orders!K$1, products!$A$1:$G$1, 0))</f>
        <v>1</v>
      </c>
      <c r="L949" s="5">
        <f>INDEX(products!$A$1:$G$49, MATCH(orders!$D949, products!$A$1:$A$49, 0), MATCH(orders!L$1, products!$A$1:$G$1, 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 MATCH(orders!$D950, products!$A$1:$A$49, 0), MATCH(orders!I$1, products!$A$1:$G$1, 0))</f>
        <v>Exc</v>
      </c>
      <c r="J950" t="str">
        <f>INDEX(products!$A$1:$G$49, MATCH(orders!$D950, products!$A$1:$A$49, 0), MATCH(orders!J$1, products!$A$1:$G$1, 0))</f>
        <v>D</v>
      </c>
      <c r="K950" s="4">
        <f>INDEX(products!$A$1:$G$49, MATCH(orders!$D950, products!$A$1:$A$49, 0), MATCH(orders!K$1, products!$A$1:$G$1, 0))</f>
        <v>2.5</v>
      </c>
      <c r="L950" s="5">
        <f>INDEX(products!$A$1:$G$49, MATCH(orders!$D950, products!$A$1:$A$49, 0), MATCH(orders!L$1, products!$A$1:$G$1, 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 MATCH(orders!$D951, products!$A$1:$A$49, 0), MATCH(orders!I$1, products!$A$1:$G$1, 0))</f>
        <v>Rob</v>
      </c>
      <c r="J951" t="str">
        <f>INDEX(products!$A$1:$G$49, MATCH(orders!$D951, products!$A$1:$A$49, 0), MATCH(orders!J$1, products!$A$1:$G$1, 0))</f>
        <v>L</v>
      </c>
      <c r="K951" s="4">
        <f>INDEX(products!$A$1:$G$49, MATCH(orders!$D951, products!$A$1:$A$49, 0), MATCH(orders!K$1, products!$A$1:$G$1, 0))</f>
        <v>2.5</v>
      </c>
      <c r="L951" s="5">
        <f>INDEX(products!$A$1:$G$49, MATCH(orders!$D951, products!$A$1:$A$49, 0), MATCH(orders!L$1, products!$A$1:$G$1, 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 MATCH(orders!$D952, products!$A$1:$A$49, 0), MATCH(orders!I$1, products!$A$1:$G$1, 0))</f>
        <v>Rob</v>
      </c>
      <c r="J952" t="str">
        <f>INDEX(products!$A$1:$G$49, MATCH(orders!$D952, products!$A$1:$A$49, 0), MATCH(orders!J$1, products!$A$1:$G$1, 0))</f>
        <v>L</v>
      </c>
      <c r="K952" s="4">
        <f>INDEX(products!$A$1:$G$49, MATCH(orders!$D952, products!$A$1:$A$49, 0), MATCH(orders!K$1, products!$A$1:$G$1, 0))</f>
        <v>0.2</v>
      </c>
      <c r="L952" s="5">
        <f>INDEX(products!$A$1:$G$49, MATCH(orders!$D952, products!$A$1:$A$49, 0), MATCH(orders!L$1, products!$A$1:$G$1, 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 MATCH(orders!$D953, products!$A$1:$A$49, 0), MATCH(orders!I$1, products!$A$1:$G$1, 0))</f>
        <v>Rob</v>
      </c>
      <c r="J953" t="str">
        <f>INDEX(products!$A$1:$G$49, MATCH(orders!$D953, products!$A$1:$A$49, 0), MATCH(orders!J$1, products!$A$1:$G$1, 0))</f>
        <v>L</v>
      </c>
      <c r="K953" s="4">
        <f>INDEX(products!$A$1:$G$49, MATCH(orders!$D953, products!$A$1:$A$49, 0), MATCH(orders!K$1, products!$A$1:$G$1, 0))</f>
        <v>0.2</v>
      </c>
      <c r="L953" s="5">
        <f>INDEX(products!$A$1:$G$49, MATCH(orders!$D953, products!$A$1:$A$49, 0), MATCH(orders!L$1, products!$A$1:$G$1, 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 MATCH(orders!$D954, products!$A$1:$A$49, 0), MATCH(orders!I$1, products!$A$1:$G$1, 0))</f>
        <v>Ara</v>
      </c>
      <c r="J954" t="str">
        <f>INDEX(products!$A$1:$G$49, MATCH(orders!$D954, products!$A$1:$A$49, 0), MATCH(orders!J$1, products!$A$1:$G$1, 0))</f>
        <v>M</v>
      </c>
      <c r="K954" s="4">
        <f>INDEX(products!$A$1:$G$49, MATCH(orders!$D954, products!$A$1:$A$49, 0), MATCH(orders!K$1, products!$A$1:$G$1, 0))</f>
        <v>1</v>
      </c>
      <c r="L954" s="5">
        <f>INDEX(products!$A$1:$G$49, MATCH(orders!$D954, products!$A$1:$A$49, 0), MATCH(orders!L$1, products!$A$1:$G$1, 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 MATCH(orders!$D955, products!$A$1:$A$49, 0), MATCH(orders!I$1, products!$A$1:$G$1, 0))</f>
        <v>Ara</v>
      </c>
      <c r="J955" t="str">
        <f>INDEX(products!$A$1:$G$49, MATCH(orders!$D955, products!$A$1:$A$49, 0), MATCH(orders!J$1, products!$A$1:$G$1, 0))</f>
        <v>L</v>
      </c>
      <c r="K955" s="4">
        <f>INDEX(products!$A$1:$G$49, MATCH(orders!$D955, products!$A$1:$A$49, 0), MATCH(orders!K$1, products!$A$1:$G$1, 0))</f>
        <v>0.2</v>
      </c>
      <c r="L955" s="5">
        <f>INDEX(products!$A$1:$G$49, MATCH(orders!$D955, products!$A$1:$A$49, 0), MATCH(orders!L$1, products!$A$1:$G$1, 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 MATCH(orders!$D956, products!$A$1:$A$49, 0), MATCH(orders!I$1, products!$A$1:$G$1, 0))</f>
        <v>Exc</v>
      </c>
      <c r="J956" t="str">
        <f>INDEX(products!$A$1:$G$49, MATCH(orders!$D956, products!$A$1:$A$49, 0), MATCH(orders!J$1, products!$A$1:$G$1, 0))</f>
        <v>D</v>
      </c>
      <c r="K956" s="4">
        <f>INDEX(products!$A$1:$G$49, MATCH(orders!$D956, products!$A$1:$A$49, 0), MATCH(orders!K$1, products!$A$1:$G$1, 0))</f>
        <v>2.5</v>
      </c>
      <c r="L956" s="5">
        <f>INDEX(products!$A$1:$G$49, MATCH(orders!$D956, products!$A$1:$A$49, 0), MATCH(orders!L$1, products!$A$1:$G$1, 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 MATCH(orders!$D957, products!$A$1:$A$49, 0), MATCH(orders!I$1, products!$A$1:$G$1, 0))</f>
        <v>Exc</v>
      </c>
      <c r="J957" t="str">
        <f>INDEX(products!$A$1:$G$49, MATCH(orders!$D957, products!$A$1:$A$49, 0), MATCH(orders!J$1, products!$A$1:$G$1, 0))</f>
        <v>L</v>
      </c>
      <c r="K957" s="4">
        <f>INDEX(products!$A$1:$G$49, MATCH(orders!$D957, products!$A$1:$A$49, 0), MATCH(orders!K$1, products!$A$1:$G$1, 0))</f>
        <v>2.5</v>
      </c>
      <c r="L957" s="5">
        <f>INDEX(products!$A$1:$G$49, MATCH(orders!$D957, products!$A$1:$A$49, 0), MATCH(orders!L$1, products!$A$1:$G$1, 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 MATCH(orders!$D958, products!$A$1:$A$49, 0), MATCH(orders!I$1, products!$A$1:$G$1, 0))</f>
        <v>Rob</v>
      </c>
      <c r="J958" t="str">
        <f>INDEX(products!$A$1:$G$49, MATCH(orders!$D958, products!$A$1:$A$49, 0), MATCH(orders!J$1, products!$A$1:$G$1, 0))</f>
        <v>L</v>
      </c>
      <c r="K958" s="4">
        <f>INDEX(products!$A$1:$G$49, MATCH(orders!$D958, products!$A$1:$A$49, 0), MATCH(orders!K$1, products!$A$1:$G$1, 0))</f>
        <v>2.5</v>
      </c>
      <c r="L958" s="5">
        <f>INDEX(products!$A$1:$G$49, MATCH(orders!$D958, products!$A$1:$A$49, 0), MATCH(orders!L$1, products!$A$1:$G$1, 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 MATCH(orders!$D959, products!$A$1:$A$49, 0), MATCH(orders!I$1, products!$A$1:$G$1, 0))</f>
        <v>Exc</v>
      </c>
      <c r="J959" t="str">
        <f>INDEX(products!$A$1:$G$49, MATCH(orders!$D959, products!$A$1:$A$49, 0), MATCH(orders!J$1, products!$A$1:$G$1, 0))</f>
        <v>L</v>
      </c>
      <c r="K959" s="4">
        <f>INDEX(products!$A$1:$G$49, MATCH(orders!$D959, products!$A$1:$A$49, 0), MATCH(orders!K$1, products!$A$1:$G$1, 0))</f>
        <v>1</v>
      </c>
      <c r="L959" s="5">
        <f>INDEX(products!$A$1:$G$49, MATCH(orders!$D959, products!$A$1:$A$49, 0), MATCH(orders!L$1, products!$A$1:$G$1, 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 MATCH(orders!$D960, products!$A$1:$A$49, 0), MATCH(orders!I$1, products!$A$1:$G$1, 0))</f>
        <v>Ara</v>
      </c>
      <c r="J960" t="str">
        <f>INDEX(products!$A$1:$G$49, MATCH(orders!$D960, products!$A$1:$A$49, 0), MATCH(orders!J$1, products!$A$1:$G$1, 0))</f>
        <v>L</v>
      </c>
      <c r="K960" s="4">
        <f>INDEX(products!$A$1:$G$49, MATCH(orders!$D960, products!$A$1:$A$49, 0), MATCH(orders!K$1, products!$A$1:$G$1, 0))</f>
        <v>0.2</v>
      </c>
      <c r="L960" s="5">
        <f>INDEX(products!$A$1:$G$49, MATCH(orders!$D960, products!$A$1:$A$49, 0), MATCH(orders!L$1, products!$A$1:$G$1, 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 MATCH(orders!$D961, products!$A$1:$A$49, 0), MATCH(orders!I$1, products!$A$1:$G$1, 0))</f>
        <v>Lib</v>
      </c>
      <c r="J961" t="str">
        <f>INDEX(products!$A$1:$G$49, MATCH(orders!$D961, products!$A$1:$A$49, 0), MATCH(orders!J$1, products!$A$1:$G$1, 0))</f>
        <v>L</v>
      </c>
      <c r="K961" s="4">
        <f>INDEX(products!$A$1:$G$49, MATCH(orders!$D961, products!$A$1:$A$49, 0), MATCH(orders!K$1, products!$A$1:$G$1, 0))</f>
        <v>0.2</v>
      </c>
      <c r="L961" s="5">
        <f>INDEX(products!$A$1:$G$49, MATCH(orders!$D961, products!$A$1:$A$49, 0), MATCH(orders!L$1, products!$A$1:$G$1, 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 MATCH(orders!$D962, products!$A$1:$A$49, 0), MATCH(orders!I$1, products!$A$1:$G$1, 0))</f>
        <v>Lib</v>
      </c>
      <c r="J962" t="str">
        <f>INDEX(products!$A$1:$G$49, MATCH(orders!$D962, products!$A$1:$A$49, 0), MATCH(orders!J$1, products!$A$1:$G$1, 0))</f>
        <v>L</v>
      </c>
      <c r="K962" s="4">
        <f>INDEX(products!$A$1:$G$49, MATCH(orders!$D962, products!$A$1:$A$49, 0), MATCH(orders!K$1, products!$A$1:$G$1, 0))</f>
        <v>1</v>
      </c>
      <c r="L962" s="5">
        <f>INDEX(products!$A$1:$G$49, MATCH(orders!$D962, products!$A$1:$A$49, 0), MATCH(orders!L$1, products!$A$1:$G$1, 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 MATCH(orders!$D963, products!$A$1:$A$49, 0), MATCH(orders!I$1, products!$A$1:$G$1, 0))</f>
        <v>Ara</v>
      </c>
      <c r="J963" t="str">
        <f>INDEX(products!$A$1:$G$49, MATCH(orders!$D963, products!$A$1:$A$49, 0), MATCH(orders!J$1, products!$A$1:$G$1, 0))</f>
        <v>D</v>
      </c>
      <c r="K963" s="4">
        <f>INDEX(products!$A$1:$G$49, MATCH(orders!$D963, products!$A$1:$A$49, 0), MATCH(orders!K$1, products!$A$1:$G$1, 0))</f>
        <v>2.5</v>
      </c>
      <c r="L963" s="5">
        <f>INDEX(products!$A$1:$G$49, MATCH(orders!$D963, products!$A$1:$A$49, 0), MATCH(orders!L$1, products!$A$1:$G$1, 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 MATCH(orders!$D964, products!$A$1:$A$49, 0), MATCH(orders!I$1, products!$A$1:$G$1, 0))</f>
        <v>Rob</v>
      </c>
      <c r="J964" t="str">
        <f>INDEX(products!$A$1:$G$49, MATCH(orders!$D964, products!$A$1:$A$49, 0), MATCH(orders!J$1, products!$A$1:$G$1, 0))</f>
        <v>D</v>
      </c>
      <c r="K964" s="4">
        <f>INDEX(products!$A$1:$G$49, MATCH(orders!$D964, products!$A$1:$A$49, 0), MATCH(orders!K$1, products!$A$1:$G$1, 0))</f>
        <v>1</v>
      </c>
      <c r="L964" s="5">
        <f>INDEX(products!$A$1:$G$49, MATCH(orders!$D964, products!$A$1:$A$49, 0), MATCH(orders!L$1, products!$A$1:$G$1, 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 MATCH(orders!$D965, products!$A$1:$A$49, 0), MATCH(orders!I$1, products!$A$1:$G$1, 0))</f>
        <v>Rob</v>
      </c>
      <c r="J965" t="str">
        <f>INDEX(products!$A$1:$G$49, MATCH(orders!$D965, products!$A$1:$A$49, 0), MATCH(orders!J$1, products!$A$1:$G$1, 0))</f>
        <v>M</v>
      </c>
      <c r="K965" s="4">
        <f>INDEX(products!$A$1:$G$49, MATCH(orders!$D965, products!$A$1:$A$49, 0), MATCH(orders!K$1, products!$A$1:$G$1, 0))</f>
        <v>0.5</v>
      </c>
      <c r="L965" s="5">
        <f>INDEX(products!$A$1:$G$49, MATCH(orders!$D965, products!$A$1:$A$49, 0), MATCH(orders!L$1, products!$A$1:$G$1, 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 MATCH(orders!$D966, products!$A$1:$A$49, 0), MATCH(orders!I$1, products!$A$1:$G$1, 0))</f>
        <v>Exc</v>
      </c>
      <c r="J966" t="str">
        <f>INDEX(products!$A$1:$G$49, MATCH(orders!$D966, products!$A$1:$A$49, 0), MATCH(orders!J$1, products!$A$1:$G$1, 0))</f>
        <v>L</v>
      </c>
      <c r="K966" s="4">
        <f>INDEX(products!$A$1:$G$49, MATCH(orders!$D966, products!$A$1:$A$49, 0), MATCH(orders!K$1, products!$A$1:$G$1, 0))</f>
        <v>0.2</v>
      </c>
      <c r="L966" s="5">
        <f>INDEX(products!$A$1:$G$49, MATCH(orders!$D966, products!$A$1:$A$49, 0), MATCH(orders!L$1, products!$A$1:$G$1, 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 MATCH(orders!$D967, products!$A$1:$A$49, 0), MATCH(orders!I$1, products!$A$1:$G$1, 0))</f>
        <v>Rob</v>
      </c>
      <c r="J967" t="str">
        <f>INDEX(products!$A$1:$G$49, MATCH(orders!$D967, products!$A$1:$A$49, 0), MATCH(orders!J$1, products!$A$1:$G$1, 0))</f>
        <v>M</v>
      </c>
      <c r="K967" s="4">
        <f>INDEX(products!$A$1:$G$49, MATCH(orders!$D967, products!$A$1:$A$49, 0), MATCH(orders!K$1, products!$A$1:$G$1, 0))</f>
        <v>1</v>
      </c>
      <c r="L967" s="5">
        <f>INDEX(products!$A$1:$G$49, MATCH(orders!$D967, products!$A$1:$A$49, 0), MATCH(orders!L$1, products!$A$1:$G$1, 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 MATCH(orders!$D968, products!$A$1:$A$49, 0), MATCH(orders!I$1, products!$A$1:$G$1, 0))</f>
        <v>Exc</v>
      </c>
      <c r="J968" t="str">
        <f>INDEX(products!$A$1:$G$49, MATCH(orders!$D968, products!$A$1:$A$49, 0), MATCH(orders!J$1, products!$A$1:$G$1, 0))</f>
        <v>L</v>
      </c>
      <c r="K968" s="4">
        <f>INDEX(products!$A$1:$G$49, MATCH(orders!$D968, products!$A$1:$A$49, 0), MATCH(orders!K$1, products!$A$1:$G$1, 0))</f>
        <v>0.5</v>
      </c>
      <c r="L968" s="5">
        <f>INDEX(products!$A$1:$G$49, MATCH(orders!$D968, products!$A$1:$A$49, 0), MATCH(orders!L$1, products!$A$1:$G$1, 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 MATCH(orders!$D969, products!$A$1:$A$49, 0), MATCH(orders!I$1, products!$A$1:$G$1, 0))</f>
        <v>Rob</v>
      </c>
      <c r="J969" t="str">
        <f>INDEX(products!$A$1:$G$49, MATCH(orders!$D969, products!$A$1:$A$49, 0), MATCH(orders!J$1, products!$A$1:$G$1, 0))</f>
        <v>D</v>
      </c>
      <c r="K969" s="4">
        <f>INDEX(products!$A$1:$G$49, MATCH(orders!$D969, products!$A$1:$A$49, 0), MATCH(orders!K$1, products!$A$1:$G$1, 0))</f>
        <v>0.2</v>
      </c>
      <c r="L969" s="5">
        <f>INDEX(products!$A$1:$G$49, MATCH(orders!$D969, products!$A$1:$A$49, 0), MATCH(orders!L$1, products!$A$1:$G$1, 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 MATCH(orders!$D970, products!$A$1:$A$49, 0), MATCH(orders!I$1, products!$A$1:$G$1, 0))</f>
        <v>Rob</v>
      </c>
      <c r="J970" t="str">
        <f>INDEX(products!$A$1:$G$49, MATCH(orders!$D970, products!$A$1:$A$49, 0), MATCH(orders!J$1, products!$A$1:$G$1, 0))</f>
        <v>M</v>
      </c>
      <c r="K970" s="4">
        <f>INDEX(products!$A$1:$G$49, MATCH(orders!$D970, products!$A$1:$A$49, 0), MATCH(orders!K$1, products!$A$1:$G$1, 0))</f>
        <v>0.2</v>
      </c>
      <c r="L970" s="5">
        <f>INDEX(products!$A$1:$G$49, MATCH(orders!$D970, products!$A$1:$A$49, 0), MATCH(orders!L$1, products!$A$1:$G$1, 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 MATCH(orders!$D971, products!$A$1:$A$49, 0), MATCH(orders!I$1, products!$A$1:$G$1, 0))</f>
        <v>Lib</v>
      </c>
      <c r="J971" t="str">
        <f>INDEX(products!$A$1:$G$49, MATCH(orders!$D971, products!$A$1:$A$49, 0), MATCH(orders!J$1, products!$A$1:$G$1, 0))</f>
        <v>D</v>
      </c>
      <c r="K971" s="4">
        <f>INDEX(products!$A$1:$G$49, MATCH(orders!$D971, products!$A$1:$A$49, 0), MATCH(orders!K$1, products!$A$1:$G$1, 0))</f>
        <v>1</v>
      </c>
      <c r="L971" s="5">
        <f>INDEX(products!$A$1:$G$49, MATCH(orders!$D971, products!$A$1:$A$49, 0), MATCH(orders!L$1, products!$A$1:$G$1, 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 MATCH(orders!$D972, products!$A$1:$A$49, 0), MATCH(orders!I$1, products!$A$1:$G$1, 0))</f>
        <v>Exc</v>
      </c>
      <c r="J972" t="str">
        <f>INDEX(products!$A$1:$G$49, MATCH(orders!$D972, products!$A$1:$A$49, 0), MATCH(orders!J$1, products!$A$1:$G$1, 0))</f>
        <v>M</v>
      </c>
      <c r="K972" s="4">
        <f>INDEX(products!$A$1:$G$49, MATCH(orders!$D972, products!$A$1:$A$49, 0), MATCH(orders!K$1, products!$A$1:$G$1, 0))</f>
        <v>0.5</v>
      </c>
      <c r="L972" s="5">
        <f>INDEX(products!$A$1:$G$49, MATCH(orders!$D972, products!$A$1:$A$49, 0), MATCH(orders!L$1, products!$A$1:$G$1, 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 MATCH(orders!$D973, products!$A$1:$A$49, 0), MATCH(orders!I$1, products!$A$1:$G$1, 0))</f>
        <v>Ara</v>
      </c>
      <c r="J973" t="str">
        <f>INDEX(products!$A$1:$G$49, MATCH(orders!$D973, products!$A$1:$A$49, 0), MATCH(orders!J$1, products!$A$1:$G$1, 0))</f>
        <v>L</v>
      </c>
      <c r="K973" s="4">
        <f>INDEX(products!$A$1:$G$49, MATCH(orders!$D973, products!$A$1:$A$49, 0), MATCH(orders!K$1, products!$A$1:$G$1, 0))</f>
        <v>2.5</v>
      </c>
      <c r="L973" s="5">
        <f>INDEX(products!$A$1:$G$49, MATCH(orders!$D973, products!$A$1:$A$49, 0), MATCH(orders!L$1, products!$A$1:$G$1, 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 MATCH(orders!$D974, products!$A$1:$A$49, 0), MATCH(orders!I$1, products!$A$1:$G$1, 0))</f>
        <v>Ara</v>
      </c>
      <c r="J974" t="str">
        <f>INDEX(products!$A$1:$G$49, MATCH(orders!$D974, products!$A$1:$A$49, 0), MATCH(orders!J$1, products!$A$1:$G$1, 0))</f>
        <v>L</v>
      </c>
      <c r="K974" s="4">
        <f>INDEX(products!$A$1:$G$49, MATCH(orders!$D974, products!$A$1:$A$49, 0), MATCH(orders!K$1, products!$A$1:$G$1, 0))</f>
        <v>2.5</v>
      </c>
      <c r="L974" s="5">
        <f>INDEX(products!$A$1:$G$49, MATCH(orders!$D974, products!$A$1:$A$49, 0), MATCH(orders!L$1, products!$A$1:$G$1, 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 MATCH(orders!$D975, products!$A$1:$A$49, 0), MATCH(orders!I$1, products!$A$1:$G$1, 0))</f>
        <v>Lib</v>
      </c>
      <c r="J975" t="str">
        <f>INDEX(products!$A$1:$G$49, MATCH(orders!$D975, products!$A$1:$A$49, 0), MATCH(orders!J$1, products!$A$1:$G$1, 0))</f>
        <v>M</v>
      </c>
      <c r="K975" s="4">
        <f>INDEX(products!$A$1:$G$49, MATCH(orders!$D975, products!$A$1:$A$49, 0), MATCH(orders!K$1, products!$A$1:$G$1, 0))</f>
        <v>1</v>
      </c>
      <c r="L975" s="5">
        <f>INDEX(products!$A$1:$G$49, MATCH(orders!$D975, products!$A$1:$A$49, 0), MATCH(orders!L$1, products!$A$1:$G$1, 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 MATCH(orders!$D976, products!$A$1:$A$49, 0), MATCH(orders!I$1, products!$A$1:$G$1, 0))</f>
        <v>Rob</v>
      </c>
      <c r="J976" t="str">
        <f>INDEX(products!$A$1:$G$49, MATCH(orders!$D976, products!$A$1:$A$49, 0), MATCH(orders!J$1, products!$A$1:$G$1, 0))</f>
        <v>D</v>
      </c>
      <c r="K976" s="4">
        <f>INDEX(products!$A$1:$G$49, MATCH(orders!$D976, products!$A$1:$A$49, 0), MATCH(orders!K$1, products!$A$1:$G$1, 0))</f>
        <v>0.5</v>
      </c>
      <c r="L976" s="5">
        <f>INDEX(products!$A$1:$G$49, MATCH(orders!$D976, products!$A$1:$A$49, 0), MATCH(orders!L$1, products!$A$1:$G$1, 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 MATCH(orders!$D977, products!$A$1:$A$49, 0), MATCH(orders!I$1, products!$A$1:$G$1, 0))</f>
        <v>Ara</v>
      </c>
      <c r="J977" t="str">
        <f>INDEX(products!$A$1:$G$49, MATCH(orders!$D977, products!$A$1:$A$49, 0), MATCH(orders!J$1, products!$A$1:$G$1, 0))</f>
        <v>D</v>
      </c>
      <c r="K977" s="4">
        <f>INDEX(products!$A$1:$G$49, MATCH(orders!$D977, products!$A$1:$A$49, 0), MATCH(orders!K$1, products!$A$1:$G$1, 0))</f>
        <v>0.2</v>
      </c>
      <c r="L977" s="5">
        <f>INDEX(products!$A$1:$G$49, MATCH(orders!$D977, products!$A$1:$A$49, 0), MATCH(orders!L$1, products!$A$1:$G$1, 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 MATCH(orders!$D978, products!$A$1:$A$49, 0), MATCH(orders!I$1, products!$A$1:$G$1, 0))</f>
        <v>Rob</v>
      </c>
      <c r="J978" t="str">
        <f>INDEX(products!$A$1:$G$49, MATCH(orders!$D978, products!$A$1:$A$49, 0), MATCH(orders!J$1, products!$A$1:$G$1, 0))</f>
        <v>L</v>
      </c>
      <c r="K978" s="4">
        <f>INDEX(products!$A$1:$G$49, MATCH(orders!$D978, products!$A$1:$A$49, 0), MATCH(orders!K$1, products!$A$1:$G$1, 0))</f>
        <v>2.5</v>
      </c>
      <c r="L978" s="5">
        <f>INDEX(products!$A$1:$G$49, MATCH(orders!$D978, products!$A$1:$A$49, 0), MATCH(orders!L$1, products!$A$1:$G$1, 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 MATCH(orders!$D979, products!$A$1:$A$49, 0), MATCH(orders!I$1, products!$A$1:$G$1, 0))</f>
        <v>Rob</v>
      </c>
      <c r="J979" t="str">
        <f>INDEX(products!$A$1:$G$49, MATCH(orders!$D979, products!$A$1:$A$49, 0), MATCH(orders!J$1, products!$A$1:$G$1, 0))</f>
        <v>L</v>
      </c>
      <c r="K979" s="4">
        <f>INDEX(products!$A$1:$G$49, MATCH(orders!$D979, products!$A$1:$A$49, 0), MATCH(orders!K$1, products!$A$1:$G$1, 0))</f>
        <v>1</v>
      </c>
      <c r="L979" s="5">
        <f>INDEX(products!$A$1:$G$49, MATCH(orders!$D979, products!$A$1:$A$49, 0), MATCH(orders!L$1, products!$A$1:$G$1, 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 MATCH(orders!$D980, products!$A$1:$A$49, 0), MATCH(orders!I$1, products!$A$1:$G$1, 0))</f>
        <v>Ara</v>
      </c>
      <c r="J980" t="str">
        <f>INDEX(products!$A$1:$G$49, MATCH(orders!$D980, products!$A$1:$A$49, 0), MATCH(orders!J$1, products!$A$1:$G$1, 0))</f>
        <v>L</v>
      </c>
      <c r="K980" s="4">
        <f>INDEX(products!$A$1:$G$49, MATCH(orders!$D980, products!$A$1:$A$49, 0), MATCH(orders!K$1, products!$A$1:$G$1, 0))</f>
        <v>0.5</v>
      </c>
      <c r="L980" s="5">
        <f>INDEX(products!$A$1:$G$49, MATCH(orders!$D980, products!$A$1:$A$49, 0), MATCH(orders!L$1, products!$A$1:$G$1, 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 MATCH(orders!$D981, products!$A$1:$A$49, 0), MATCH(orders!I$1, products!$A$1:$G$1, 0))</f>
        <v>Rob</v>
      </c>
      <c r="J981" t="str">
        <f>INDEX(products!$A$1:$G$49, MATCH(orders!$D981, products!$A$1:$A$49, 0), MATCH(orders!J$1, products!$A$1:$G$1, 0))</f>
        <v>D</v>
      </c>
      <c r="K981" s="4">
        <f>INDEX(products!$A$1:$G$49, MATCH(orders!$D981, products!$A$1:$A$49, 0), MATCH(orders!K$1, products!$A$1:$G$1, 0))</f>
        <v>0.5</v>
      </c>
      <c r="L981" s="5">
        <f>INDEX(products!$A$1:$G$49, MATCH(orders!$D981, products!$A$1:$A$49, 0), MATCH(orders!L$1, products!$A$1:$G$1, 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 MATCH(orders!$D982, products!$A$1:$A$49, 0), MATCH(orders!I$1, products!$A$1:$G$1, 0))</f>
        <v>Exc</v>
      </c>
      <c r="J982" t="str">
        <f>INDEX(products!$A$1:$G$49, MATCH(orders!$D982, products!$A$1:$A$49, 0), MATCH(orders!J$1, products!$A$1:$G$1, 0))</f>
        <v>D</v>
      </c>
      <c r="K982" s="4">
        <f>INDEX(products!$A$1:$G$49, MATCH(orders!$D982, products!$A$1:$A$49, 0), MATCH(orders!K$1, products!$A$1:$G$1, 0))</f>
        <v>2.5</v>
      </c>
      <c r="L982" s="5">
        <f>INDEX(products!$A$1:$G$49, MATCH(orders!$D982, products!$A$1:$A$49, 0), MATCH(orders!L$1, products!$A$1:$G$1, 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 MATCH(orders!$D983, products!$A$1:$A$49, 0), MATCH(orders!I$1, products!$A$1:$G$1, 0))</f>
        <v>Exc</v>
      </c>
      <c r="J983" t="str">
        <f>INDEX(products!$A$1:$G$49, MATCH(orders!$D983, products!$A$1:$A$49, 0), MATCH(orders!J$1, products!$A$1:$G$1, 0))</f>
        <v>D</v>
      </c>
      <c r="K983" s="4">
        <f>INDEX(products!$A$1:$G$49, MATCH(orders!$D983, products!$A$1:$A$49, 0), MATCH(orders!K$1, products!$A$1:$G$1, 0))</f>
        <v>0.2</v>
      </c>
      <c r="L983" s="5">
        <f>INDEX(products!$A$1:$G$49, MATCH(orders!$D983, products!$A$1:$A$49, 0), MATCH(orders!L$1, products!$A$1:$G$1, 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 MATCH(orders!$D984, products!$A$1:$A$49, 0), MATCH(orders!I$1, products!$A$1:$G$1, 0))</f>
        <v>Rob</v>
      </c>
      <c r="J984" t="str">
        <f>INDEX(products!$A$1:$G$49, MATCH(orders!$D984, products!$A$1:$A$49, 0), MATCH(orders!J$1, products!$A$1:$G$1, 0))</f>
        <v>L</v>
      </c>
      <c r="K984" s="4">
        <f>INDEX(products!$A$1:$G$49, MATCH(orders!$D984, products!$A$1:$A$49, 0), MATCH(orders!K$1, products!$A$1:$G$1, 0))</f>
        <v>1</v>
      </c>
      <c r="L984" s="5">
        <f>INDEX(products!$A$1:$G$49, MATCH(orders!$D984, products!$A$1:$A$49, 0), MATCH(orders!L$1, products!$A$1:$G$1, 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 MATCH(orders!$D985, products!$A$1:$A$49, 0), MATCH(orders!I$1, products!$A$1:$G$1, 0))</f>
        <v>Ara</v>
      </c>
      <c r="J985" t="str">
        <f>INDEX(products!$A$1:$G$49, MATCH(orders!$D985, products!$A$1:$A$49, 0), MATCH(orders!J$1, products!$A$1:$G$1, 0))</f>
        <v>M</v>
      </c>
      <c r="K985" s="4">
        <f>INDEX(products!$A$1:$G$49, MATCH(orders!$D985, products!$A$1:$A$49, 0), MATCH(orders!K$1, products!$A$1:$G$1, 0))</f>
        <v>0.2</v>
      </c>
      <c r="L985" s="5">
        <f>INDEX(products!$A$1:$G$49, MATCH(orders!$D985, products!$A$1:$A$49, 0), MATCH(orders!L$1, products!$A$1:$G$1, 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 MATCH(orders!$D986, products!$A$1:$A$49, 0), MATCH(orders!I$1, products!$A$1:$G$1, 0))</f>
        <v>Exc</v>
      </c>
      <c r="J986" t="str">
        <f>INDEX(products!$A$1:$G$49, MATCH(orders!$D986, products!$A$1:$A$49, 0), MATCH(orders!J$1, products!$A$1:$G$1, 0))</f>
        <v>M</v>
      </c>
      <c r="K986" s="4">
        <f>INDEX(products!$A$1:$G$49, MATCH(orders!$D986, products!$A$1:$A$49, 0), MATCH(orders!K$1, products!$A$1:$G$1, 0))</f>
        <v>2.5</v>
      </c>
      <c r="L986" s="5">
        <f>INDEX(products!$A$1:$G$49, MATCH(orders!$D986, products!$A$1:$A$49, 0), MATCH(orders!L$1, products!$A$1:$G$1, 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 MATCH(orders!$D987, products!$A$1:$A$49, 0), MATCH(orders!I$1, products!$A$1:$G$1, 0))</f>
        <v>Rob</v>
      </c>
      <c r="J987" t="str">
        <f>INDEX(products!$A$1:$G$49, MATCH(orders!$D987, products!$A$1:$A$49, 0), MATCH(orders!J$1, products!$A$1:$G$1, 0))</f>
        <v>L</v>
      </c>
      <c r="K987" s="4">
        <f>INDEX(products!$A$1:$G$49, MATCH(orders!$D987, products!$A$1:$A$49, 0), MATCH(orders!K$1, products!$A$1:$G$1, 0))</f>
        <v>1</v>
      </c>
      <c r="L987" s="5">
        <f>INDEX(products!$A$1:$G$49, MATCH(orders!$D987, products!$A$1:$A$49, 0), MATCH(orders!L$1, products!$A$1:$G$1, 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 MATCH(orders!$D988, products!$A$1:$A$49, 0), MATCH(orders!I$1, products!$A$1:$G$1, 0))</f>
        <v>Lib</v>
      </c>
      <c r="J988" t="str">
        <f>INDEX(products!$A$1:$G$49, MATCH(orders!$D988, products!$A$1:$A$49, 0), MATCH(orders!J$1, products!$A$1:$G$1, 0))</f>
        <v>M</v>
      </c>
      <c r="K988" s="4">
        <f>INDEX(products!$A$1:$G$49, MATCH(orders!$D988, products!$A$1:$A$49, 0), MATCH(orders!K$1, products!$A$1:$G$1, 0))</f>
        <v>2.5</v>
      </c>
      <c r="L988" s="5">
        <f>INDEX(products!$A$1:$G$49, MATCH(orders!$D988, products!$A$1:$A$49, 0), MATCH(orders!L$1, products!$A$1:$G$1, 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 MATCH(orders!$D989, products!$A$1:$A$49, 0), MATCH(orders!I$1, products!$A$1:$G$1, 0))</f>
        <v>Ara</v>
      </c>
      <c r="J989" t="str">
        <f>INDEX(products!$A$1:$G$49, MATCH(orders!$D989, products!$A$1:$A$49, 0), MATCH(orders!J$1, products!$A$1:$G$1, 0))</f>
        <v>D</v>
      </c>
      <c r="K989" s="4">
        <f>INDEX(products!$A$1:$G$49, MATCH(orders!$D989, products!$A$1:$A$49, 0), MATCH(orders!K$1, products!$A$1:$G$1, 0))</f>
        <v>0.5</v>
      </c>
      <c r="L989" s="5">
        <f>INDEX(products!$A$1:$G$49, MATCH(orders!$D989, products!$A$1:$A$49, 0), MATCH(orders!L$1, products!$A$1:$G$1, 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 MATCH(orders!$D990, products!$A$1:$A$49, 0), MATCH(orders!I$1, products!$A$1:$G$1, 0))</f>
        <v>Rob</v>
      </c>
      <c r="J990" t="str">
        <f>INDEX(products!$A$1:$G$49, MATCH(orders!$D990, products!$A$1:$A$49, 0), MATCH(orders!J$1, products!$A$1:$G$1, 0))</f>
        <v>M</v>
      </c>
      <c r="K990" s="4">
        <f>INDEX(products!$A$1:$G$49, MATCH(orders!$D990, products!$A$1:$A$49, 0), MATCH(orders!K$1, products!$A$1:$G$1, 0))</f>
        <v>1</v>
      </c>
      <c r="L990" s="5">
        <f>INDEX(products!$A$1:$G$49, MATCH(orders!$D990, products!$A$1:$A$49, 0), MATCH(orders!L$1, products!$A$1:$G$1, 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 MATCH(orders!$D991, products!$A$1:$A$49, 0), MATCH(orders!I$1, products!$A$1:$G$1, 0))</f>
        <v>Ara</v>
      </c>
      <c r="J991" t="str">
        <f>INDEX(products!$A$1:$G$49, MATCH(orders!$D991, products!$A$1:$A$49, 0), MATCH(orders!J$1, products!$A$1:$G$1, 0))</f>
        <v>M</v>
      </c>
      <c r="K991" s="4">
        <f>INDEX(products!$A$1:$G$49, MATCH(orders!$D991, products!$A$1:$A$49, 0), MATCH(orders!K$1, products!$A$1:$G$1, 0))</f>
        <v>2.5</v>
      </c>
      <c r="L991" s="5">
        <f>INDEX(products!$A$1:$G$49, MATCH(orders!$D991, products!$A$1:$A$49, 0), MATCH(orders!L$1, products!$A$1:$G$1, 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 MATCH(orders!$D992, products!$A$1:$A$49, 0), MATCH(orders!I$1, products!$A$1:$G$1, 0))</f>
        <v>Exc</v>
      </c>
      <c r="J992" t="str">
        <f>INDEX(products!$A$1:$G$49, MATCH(orders!$D992, products!$A$1:$A$49, 0), MATCH(orders!J$1, products!$A$1:$G$1, 0))</f>
        <v>D</v>
      </c>
      <c r="K992" s="4">
        <f>INDEX(products!$A$1:$G$49, MATCH(orders!$D992, products!$A$1:$A$49, 0), MATCH(orders!K$1, products!$A$1:$G$1, 0))</f>
        <v>0.2</v>
      </c>
      <c r="L992" s="5">
        <f>INDEX(products!$A$1:$G$49, MATCH(orders!$D992, products!$A$1:$A$49, 0), MATCH(orders!L$1, products!$A$1:$G$1, 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 MATCH(orders!$D993, products!$A$1:$A$49, 0), MATCH(orders!I$1, products!$A$1:$G$1, 0))</f>
        <v>Lib</v>
      </c>
      <c r="J993" t="str">
        <f>INDEX(products!$A$1:$G$49, MATCH(orders!$D993, products!$A$1:$A$49, 0), MATCH(orders!J$1, products!$A$1:$G$1, 0))</f>
        <v>D</v>
      </c>
      <c r="K993" s="4">
        <f>INDEX(products!$A$1:$G$49, MATCH(orders!$D993, products!$A$1:$A$49, 0), MATCH(orders!K$1, products!$A$1:$G$1, 0))</f>
        <v>0.5</v>
      </c>
      <c r="L993" s="5">
        <f>INDEX(products!$A$1:$G$49, MATCH(orders!$D993, products!$A$1:$A$49, 0), MATCH(orders!L$1, products!$A$1:$G$1, 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 MATCH(orders!$D994, products!$A$1:$A$49, 0), MATCH(orders!I$1, products!$A$1:$G$1, 0))</f>
        <v>Lib</v>
      </c>
      <c r="J994" t="str">
        <f>INDEX(products!$A$1:$G$49, MATCH(orders!$D994, products!$A$1:$A$49, 0), MATCH(orders!J$1, products!$A$1:$G$1, 0))</f>
        <v>L</v>
      </c>
      <c r="K994" s="4">
        <f>INDEX(products!$A$1:$G$49, MATCH(orders!$D994, products!$A$1:$A$49, 0), MATCH(orders!K$1, products!$A$1:$G$1, 0))</f>
        <v>2.5</v>
      </c>
      <c r="L994" s="5">
        <f>INDEX(products!$A$1:$G$49, MATCH(orders!$D994, products!$A$1:$A$49, 0), MATCH(orders!L$1, products!$A$1:$G$1, 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 MATCH(orders!$D995, products!$A$1:$A$49, 0), MATCH(orders!I$1, products!$A$1:$G$1, 0))</f>
        <v>Ara</v>
      </c>
      <c r="J995" t="str">
        <f>INDEX(products!$A$1:$G$49, MATCH(orders!$D995, products!$A$1:$A$49, 0), MATCH(orders!J$1, products!$A$1:$G$1, 0))</f>
        <v>L</v>
      </c>
      <c r="K995" s="4">
        <f>INDEX(products!$A$1:$G$49, MATCH(orders!$D995, products!$A$1:$A$49, 0), MATCH(orders!K$1, products!$A$1:$G$1, 0))</f>
        <v>1</v>
      </c>
      <c r="L995" s="5">
        <f>INDEX(products!$A$1:$G$49, MATCH(orders!$D995, products!$A$1:$A$49, 0), MATCH(orders!L$1, products!$A$1:$G$1, 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 MATCH(orders!$D996, products!$A$1:$A$49, 0), MATCH(orders!I$1, products!$A$1:$G$1, 0))</f>
        <v>Ara</v>
      </c>
      <c r="J996" t="str">
        <f>INDEX(products!$A$1:$G$49, MATCH(orders!$D996, products!$A$1:$A$49, 0), MATCH(orders!J$1, products!$A$1:$G$1, 0))</f>
        <v>D</v>
      </c>
      <c r="K996" s="4">
        <f>INDEX(products!$A$1:$G$49, MATCH(orders!$D996, products!$A$1:$A$49, 0), MATCH(orders!K$1, products!$A$1:$G$1, 0))</f>
        <v>0.2</v>
      </c>
      <c r="L996" s="5">
        <f>INDEX(products!$A$1:$G$49, MATCH(orders!$D996, products!$A$1:$A$49, 0), MATCH(orders!L$1, products!$A$1:$G$1, 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 MATCH(orders!$D997, products!$A$1:$A$49, 0), MATCH(orders!I$1, products!$A$1:$G$1, 0))</f>
        <v>Rob</v>
      </c>
      <c r="J997" t="str">
        <f>INDEX(products!$A$1:$G$49, MATCH(orders!$D997, products!$A$1:$A$49, 0), MATCH(orders!J$1, products!$A$1:$G$1, 0))</f>
        <v>L</v>
      </c>
      <c r="K997" s="4">
        <f>INDEX(products!$A$1:$G$49, MATCH(orders!$D997, products!$A$1:$A$49, 0), MATCH(orders!K$1, products!$A$1:$G$1, 0))</f>
        <v>2.5</v>
      </c>
      <c r="L997" s="5">
        <f>INDEX(products!$A$1:$G$49, MATCH(orders!$D997, products!$A$1:$A$49, 0), MATCH(orders!L$1, products!$A$1:$G$1, 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 MATCH(orders!$D998, products!$A$1:$A$49, 0), MATCH(orders!I$1, products!$A$1:$G$1, 0))</f>
        <v>Rob</v>
      </c>
      <c r="J998" t="str">
        <f>INDEX(products!$A$1:$G$49, MATCH(orders!$D998, products!$A$1:$A$49, 0), MATCH(orders!J$1, products!$A$1:$G$1, 0))</f>
        <v>M</v>
      </c>
      <c r="K998" s="4">
        <f>INDEX(products!$A$1:$G$49, MATCH(orders!$D998, products!$A$1:$A$49, 0), MATCH(orders!K$1, products!$A$1:$G$1, 0))</f>
        <v>0.5</v>
      </c>
      <c r="L998" s="5">
        <f>INDEX(products!$A$1:$G$49, MATCH(orders!$D998, products!$A$1:$A$49, 0), MATCH(orders!L$1, products!$A$1:$G$1, 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 MATCH(orders!$D999, products!$A$1:$A$49, 0), MATCH(orders!I$1, products!$A$1:$G$1, 0))</f>
        <v>Ara</v>
      </c>
      <c r="J999" t="str">
        <f>INDEX(products!$A$1:$G$49, MATCH(orders!$D999, products!$A$1:$A$49, 0), MATCH(orders!J$1, products!$A$1:$G$1, 0))</f>
        <v>M</v>
      </c>
      <c r="K999" s="4">
        <f>INDEX(products!$A$1:$G$49, MATCH(orders!$D999, products!$A$1:$A$49, 0), MATCH(orders!K$1, products!$A$1:$G$1, 0))</f>
        <v>0.5</v>
      </c>
      <c r="L999" s="5">
        <f>INDEX(products!$A$1:$G$49, MATCH(orders!$D999, products!$A$1:$A$49, 0), MATCH(orders!L$1, products!$A$1:$G$1, 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 MATCH(orders!$D1000, products!$A$1:$A$49, 0), MATCH(orders!I$1, products!$A$1:$G$1, 0))</f>
        <v>Ara</v>
      </c>
      <c r="J1000" t="str">
        <f>INDEX(products!$A$1:$G$49, MATCH(orders!$D1000, products!$A$1:$A$49, 0), MATCH(orders!J$1, products!$A$1:$G$1, 0))</f>
        <v>D</v>
      </c>
      <c r="K1000" s="4">
        <f>INDEX(products!$A$1:$G$49, MATCH(orders!$D1000, products!$A$1:$A$49, 0), MATCH(orders!K$1, products!$A$1:$G$1, 0))</f>
        <v>1</v>
      </c>
      <c r="L1000" s="5">
        <f>INDEX(products!$A$1:$G$49, MATCH(orders!$D1000, products!$A$1:$A$49, 0), MATCH(orders!L$1, products!$A$1:$G$1, 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 MATCH(orders!$D1001, products!$A$1:$A$49, 0), MATCH(orders!I$1, products!$A$1:$G$1, 0))</f>
        <v>Exc</v>
      </c>
      <c r="J1001" t="str">
        <f>INDEX(products!$A$1:$G$49, MATCH(orders!$D1001, products!$A$1:$A$49, 0), MATCH(orders!J$1, products!$A$1:$G$1, 0))</f>
        <v>M</v>
      </c>
      <c r="K1001" s="4">
        <f>INDEX(products!$A$1:$G$49, MATCH(orders!$D1001, products!$A$1:$A$49, 0), MATCH(orders!K$1, products!$A$1:$G$1, 0))</f>
        <v>0.2</v>
      </c>
      <c r="L1001" s="5">
        <f>INDEX(products!$A$1:$G$49, MATCH(orders!$D1001, products!$A$1:$A$49, 0), MATCH(orders!L$1, products!$A$1:$G$1, 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Aaradhya Acharya</cp:lastModifiedBy>
  <cp:revision/>
  <dcterms:created xsi:type="dcterms:W3CDTF">2022-11-26T09:51:45Z</dcterms:created>
  <dcterms:modified xsi:type="dcterms:W3CDTF">2026-01-10T22:24:39Z</dcterms:modified>
  <cp:category/>
  <cp:contentStatus/>
</cp:coreProperties>
</file>